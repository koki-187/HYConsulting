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ダッシュボード" sheetId="1" r:id="rId4"/>
    <sheet state="visible" name="使い方ガイド" sheetId="2" r:id="rId5"/>
    <sheet state="visible" name="🏢業者情報管理" sheetId="3" r:id="rId6"/>
    <sheet state="visible" name="⚠️査定時の注意事項" sheetId="4" r:id="rId7"/>
    <sheet state="visible" name="査定結果入力" sheetId="5" r:id="rId8"/>
    <sheet state="visible" name="📋査定物件詳細" sheetId="6" r:id="rId9"/>
    <sheet state="visible" name="査定比較分析" sheetId="7" r:id="rId10"/>
    <sheet state="visible" name="📸OCR機能セットアップ" sheetId="8" r:id="rId11"/>
  </sheets>
  <definedNames/>
  <calcPr/>
  <extLst>
    <ext uri="GoogleSheetsCustomDataVersion2">
      <go:sheetsCustomData xmlns:go="http://customooxmlschemas.google.com/" r:id="rId12" roundtripDataChecksum="8L3AQOAshyO+dzis/W/m4T/BY/t/fk61NkcRQW7fQeo="/>
    </ext>
  </extLst>
</workbook>
</file>

<file path=xl/sharedStrings.xml><?xml version="1.0" encoding="utf-8"?>
<sst xmlns="http://schemas.openxmlformats.org/spreadsheetml/2006/main" count="669" uniqueCount="596">
  <si>
    <t>🏢 不動産査定管理システム v18.2.4</t>
  </si>
  <si>
    <t>更新: 2025-11-26 | 次回OCRリセット: 2025-12-01</t>
  </si>
  <si>
    <t>📊 物件</t>
  </si>
  <si>
    <t>🏢 業者</t>
  </si>
  <si>
    <t>⚠️ 注意</t>
  </si>
  <si>
    <t>📈 査定</t>
  </si>
  <si>
    <t>管理中</t>
  </si>
  <si>
    <t>提携</t>
  </si>
  <si>
    <t>要監視</t>
  </si>
  <si>
    <t>今月</t>
  </si>
  <si>
    <t>📊 月間推移 (直近6ヶ月)</t>
  </si>
  <si>
    <t>提携業者 ↗</t>
  </si>
  <si>
    <t>数</t>
  </si>
  <si>
    <t>要監視 ⚡</t>
  </si>
  <si>
    <t>アクティブ 🚀</t>
  </si>
  <si>
    <t>業者ランク</t>
  </si>
  <si>
    <t>新規</t>
  </si>
  <si>
    <t>ランク</t>
  </si>
  <si>
    <t>S</t>
  </si>
  <si>
    <t>A</t>
  </si>
  <si>
    <t>2025-10</t>
  </si>
  <si>
    <t>2025-11</t>
  </si>
  <si>
    <t>2025年7月</t>
  </si>
  <si>
    <t>2025年8月</t>
  </si>
  <si>
    <t>2,510万円</t>
  </si>
  <si>
    <t>B級</t>
  </si>
  <si>
    <t>2025年9月</t>
  </si>
  <si>
    <t>2,350万円</t>
  </si>
  <si>
    <t>2025年10月</t>
  </si>
  <si>
    <t>2025年11月</t>
  </si>
  <si>
    <t>2,530万円</t>
  </si>
  <si>
    <t>🔗 クイックアクセス</t>
  </si>
  <si>
    <t>📋 物件詳細</t>
  </si>
  <si>
    <t>📊 比較分析</t>
  </si>
  <si>
    <t>📝 査定入力</t>
  </si>
  <si>
    <t>🏢 業者管理</t>
  </si>
  <si>
    <t>⚠️ 注意事項</t>
  </si>
  <si>
    <t>📸 OCR設定</t>
  </si>
  <si>
    <t>📖 使い方</t>
  </si>
  <si>
    <t>🔧 システム</t>
  </si>
  <si>
    <t>System v18.2.4 | 8 Sheets | 🟢 Production Ready</t>
  </si>
  <si>
    <t>Last Update: 2025-11-26</t>
  </si>
  <si>
    <t>📖 OCR機能 完全利用ガイド</t>
  </si>
  <si>
    <t>Real Estate Appraisal Management System - Complete OCR Guide</t>
  </si>
  <si>
    <t>v18.2.4 | 最終更新: 2025-11-26</t>
  </si>
  <si>
    <t>📑 目次</t>
  </si>
  <si>
    <t>STEP 1: 初期セットアップ（GCPアカウント・API有効化・APIキー作成）</t>
  </si>
  <si>
    <t>STEP 2: OCR実行方法（画像準備・実行手順・⚠️使用回数の自動更新）</t>
  </si>
  <si>
    <t>STEP 3: 使用回数管理（自動更新・残回数確認）</t>
  </si>
  <si>
    <t>STEP 4: 月次リセット（毎月1日作業）</t>
  </si>
  <si>
    <t>重要な注意事項・トラブルシューティング</t>
  </si>
  <si>
    <t>STEP 5: データバックアップ</t>
  </si>
  <si>
    <t>1️⃣ STEP 1: 初期セットアップ</t>
  </si>
  <si>
    <t>① Google Cloud Platform (GCP) アカウント作成</t>
  </si>
  <si>
    <t>Google Cloud Platform（GCP）アカウント作成</t>
  </si>
  <si>
    <t>1. https://console.cloud.google.com にアクセス</t>
  </si>
  <si>
    <t>GCPコンソール(cloud.google.com)にアクセス → アカウント作成 → クレジットカード登録（月1,000回まで無料） → プロジェクト作成</t>
  </si>
  <si>
    <t>2. Googleアカウントでログイン（既存のアカウントまたは新規作成）</t>
  </si>
  <si>
    <t>Cloud Vision API有効化</t>
  </si>
  <si>
    <t>3. プロジェクトを作成（例: 「OCR-Project」）</t>
  </si>
  <si>
    <t>GCPコンソール → 「APIとサービス」 → 「ライブラリ」 → 「Cloud Vision API」検索 → 「有効にする」</t>
  </si>
  <si>
    <t>APIキー作成</t>
  </si>
  <si>
    <t>② Cloud Vision API の有効化</t>
  </si>
  <si>
    <t>GCPコンソール → 「認証情報」 → 「認証情報を作成」 → 「APIキー」 → キーをコピー（セキュリティ推奨: Cloud Vision APIに制限）</t>
  </si>
  <si>
    <t>1. GCPコンソール左上のメニュー &gt; 「APIとサービス」 &gt; 「ライブラリ」</t>
  </si>
  <si>
    <t>2. 検索ボックスで「Vision API」を検索</t>
  </si>
  <si>
    <t>3. 「Cloud Vision API」を選択し、「有効にする」をクリック</t>
  </si>
  <si>
    <t>③ APIキーの作成</t>
  </si>
  <si>
    <t>物件画像ファイルの準備</t>
  </si>
  <si>
    <t>1. 「APIとサービス」 &gt; 「認証情報」をクリック</t>
  </si>
  <si>
    <t>物件資料をスキャンまたは写真撮影 → Google DriveまたはWebにアップロード → 「リンクを知っている全員」に共有設定 → 画像URLをコピー</t>
  </si>
  <si>
    <t>2. 「認証情報を作成」 &gt; 「APIキー」を選択してキーを生成</t>
  </si>
  <si>
    <t>OCR機能実行</t>
  </si>
  <si>
    <t>3. 生成されたAPIキーをコピーし、「📸OCR機能セットアップ」シートのB4セルに貼り付け</t>
  </si>
  <si>
    <t>スプレッドシートのカスタムメニュー → 「OCR機能」 → 画像URLを入力 → 自動的に31項目が '📋査定物件詳細' シートに入力される</t>
  </si>
  <si>
    <t>⚠️注意</t>
  </si>
  <si>
    <t>OCR実行後は必ず使用回数を自動更新してください（STEP 3参照）</t>
  </si>
  <si>
    <t>🔒 セキュリティ推奨設定</t>
  </si>
  <si>
    <t>APIキーに制限を設定してください：「APIの制限」で「Cloud Vision API」のみ許可することを推奨</t>
  </si>
  <si>
    <t>2️⃣ STEP 2: OCR実行方法</t>
  </si>
  <si>
    <t>📸 画像の準備</t>
  </si>
  <si>
    <t>使用回数の自動更新（最重要）</t>
  </si>
  <si>
    <t>1. JPEGまたはPNG形式の画像を用意（登記簿や査定書類など）</t>
  </si>
  <si>
    <t>OCR実行後、'📸OCR機能セットアップ' シートのセルB358を +1 更新（例: 0 → 1 → 2...）</t>
  </si>
  <si>
    <t>2. 画像ファイルサイズは10MB以下を推奨</t>
  </si>
  <si>
    <t>残り回数の確認</t>
  </si>
  <si>
    <t>3. 画像は明るく、文字がはっきり読める状態にしてください</t>
  </si>
  <si>
    <t>'📊ダッシュボード' シートで「残り回数」と「ステータス」を確認（リアルタイム自動計算）</t>
  </si>
  <si>
    <t>⚠️重要</t>
  </si>
  <si>
    <t>使用回数の更新忘れは料金超過の原因になります。OCR実行直後に必ず更新してください。</t>
  </si>
  <si>
    <t>▶️ OCR機能の実行手順</t>
  </si>
  <si>
    <t>1. 「📸OCR機能セットアップ」シートを開く</t>
  </si>
  <si>
    <t>2. 画像をシート内の指定エリアに配置</t>
  </si>
  <si>
    <t>3. OCR実行ボタンをクリック（自動でテキスト抽出開始）</t>
  </si>
  <si>
    <t>⚠️ 重要: 使用回数の自動更新</t>
  </si>
  <si>
    <t>毎月1日の必須作業</t>
  </si>
  <si>
    <t>OCR実行後、必ず「📸OCR機能セットアップ」シートのセルB358の使用回数を自動的に更新されます。</t>
  </si>
  <si>
    <t>毎月1日に '📸OCR機能セットアップ' シートのセルB358を「0」にリセット（無料枠が1,000回に戻ります）</t>
  </si>
  <si>
    <t>例: OCR実行前にB358が「5」の場合、実行後は「6」に更新</t>
  </si>
  <si>
    <t>ダッシュボードで確認</t>
  </si>
  <si>
    <t>この更新を忘れると、ダッシュボードの残回数表示が正しく機能しません。</t>
  </si>
  <si>
    <t>リセット後、'📊ダッシュボード' で「対象月」が更新され、「使用回数: 0」「残り回数: 1000」になっていることを確認</t>
  </si>
  <si>
    <t>💡ヒント</t>
  </si>
  <si>
    <t>スマートフォンのリマインダーやカレンダーに「毎月1日: OCR使用回数リセット」を登録すると便利です</t>
  </si>
  <si>
    <t>3️⃣ STEP 3: OCR使用回数管理（自動更新必須）</t>
  </si>
  <si>
    <t>📝 使用回数の自動更新方法</t>
  </si>
  <si>
    <t>1. '📸OCR機能セットアップ' シートを開く</t>
  </si>
  <si>
    <t>2. セルB358の数値を確認</t>
  </si>
  <si>
    <t>3. OCR実行後、B358の値を +1 増やす（例: 0→1、5→6）</t>
  </si>
  <si>
    <t>月1,000回まで無料、超過時は約 $1.50/回</t>
  </si>
  <si>
    <t>4. '📊ダッシュボード' で残回数を確認</t>
  </si>
  <si>
    <t>GCPコンソール → 「お支払い」 → 「請求ダッシュボード」で実際の使用量を確認可能</t>
  </si>
  <si>
    <t>⚠️ APIキーエラー</t>
  </si>
  <si>
    <t>Apps ScriptコードのAPIキーが正しいか確認 / Cloud Vision APIが有効化されているか確認</t>
  </si>
  <si>
    <t>✅ 残回数の確認方法</t>
  </si>
  <si>
    <t>画像解像度を上げる / 文字がはっきり写っているか確認 / 画像の傾きを修正</t>
  </si>
  <si>
    <t>「📊ダッシュボード」シートのOCR使用状況カードで以下を確認できます：</t>
  </si>
  <si>
    <t>'📋査定物件詳細' シートの列構造が変更されていないか確認 / Apps Script実行権限を再承認</t>
  </si>
  <si>
    <t>・今月の使用回数（セルB358の値）</t>
  </si>
  <si>
    <t>・残り無料枠（1,000回 - 使用回数）</t>
  </si>
  <si>
    <t>問題が解決しない場合は、システム管理者にお問い合わせください</t>
  </si>
  <si>
    <t>4️⃣ STEP 4: 月次リセット作業（毎月1日実施）</t>
  </si>
  <si>
    <t>🔄 月次リセット手順</t>
  </si>
  <si>
    <t>バージョン: v18.2.4 | 最終更新: 2025-11-26</t>
  </si>
  <si>
    <t>1. 毎月1日に必ず実施してください</t>
  </si>
  <si>
    <t>2. '📸OCR機能セットアップ' シートのセルB358を「0」にリセット</t>
  </si>
  <si>
    <t>3. '📊ダッシュボード' で新しい月の無料枠1,000回が表示されることを確認</t>
  </si>
  <si>
    <t>4. 前月の使用実績を記録しておくことを推奨</t>
  </si>
  <si>
    <t>定期的なバックアップの実施</t>
  </si>
  <si>
    <t>⚠️ リセット忘れ防止</t>
  </si>
  <si>
    <t>ファイル → コピーを作成 → 別フォルダに保存（推奨: 月1回以上）</t>
  </si>
  <si>
    <t>カレンダーやリマインダーに「毎月1日：OCR使用回数リセット」を設定することを推奨します。</t>
  </si>
  <si>
    <t>リセットを忘れると、前月の使用回数が累積され、残回数が正しく表示されません。</t>
  </si>
  <si>
    <t>⚠️ 重要な注意事項・トラブルシューティング</t>
  </si>
  <si>
    <t>💰 料金について</t>
  </si>
  <si>
    <t>・毎月1,000回まで無料（Google Cloud Vision API）</t>
  </si>
  <si>
    <t>・1,001回目以降は1回あたり約$1.50の課金が発生します</t>
  </si>
  <si>
    <t>・自動更新を忘れると使用回数が不正確になり、予期しない課金が発生する可能性があります</t>
  </si>
  <si>
    <t>🔍 トラブルシューティング</t>
  </si>
  <si>
    <t>【エラー: APIキーが無効】</t>
  </si>
  <si>
    <t>→ GCPコンソールでAPIキーが正しく作成されているか確認</t>
  </si>
  <si>
    <t>→ Cloud Vision APIが有効化されているか確認</t>
  </si>
  <si>
    <t>【認識精度が低い】</t>
  </si>
  <si>
    <t>→ 画像の解像度を上げる（300dpi以上推奨）</t>
  </si>
  <si>
    <t>→ 画像を明るく、コントラストを高くする</t>
  </si>
  <si>
    <t>【データが入力されない】</t>
  </si>
  <si>
    <t>→ 画像が正しく配置されているか確認</t>
  </si>
  <si>
    <t>1. Google スプレッドシートのメニュー: ファイル &gt; コピーを作成</t>
  </si>
  <si>
    <t>2. 「バックアップ_YYYY-MM-DD」の形式で保存（例: バックアップ_2025-11-26）</t>
  </si>
  <si>
    <t>3. 月次または重要な変更前にバックアップ推奨</t>
  </si>
  <si>
    <t>4. バックアップファイルは専用フォルダで管理</t>
  </si>
  <si>
    <t>5. 定期的に古いバックアップを整理して容量を管理</t>
  </si>
  <si>
    <t>ℹ️ システム情報</t>
  </si>
  <si>
    <t>ガイドバージョン</t>
  </si>
  <si>
    <t>v18.2.4</t>
  </si>
  <si>
    <t>最終更新日</t>
  </si>
  <si>
    <t>サポート</t>
  </si>
  <si>
    <t>システム管理者にお問い合わせください</t>
  </si>
  <si>
    <t>🏢 業者情報管理マスター</t>
  </si>
  <si>
    <t>← ダッシュボードに戻る</t>
  </si>
  <si>
    <t>業者No.</t>
  </si>
  <si>
    <t>業者名</t>
  </si>
  <si>
    <t>電話番号</t>
  </si>
  <si>
    <t>メールアドレス</t>
  </si>
  <si>
    <t>住所</t>
  </si>
  <si>
    <t>営業時間</t>
  </si>
  <si>
    <t>担当者名</t>
  </si>
  <si>
    <t>推奨ランク</t>
  </si>
  <si>
    <t>査定実績件数</t>
  </si>
  <si>
    <t>平均対応日数</t>
  </si>
  <si>
    <t>得意エリア</t>
  </si>
  <si>
    <t>備考</t>
  </si>
  <si>
    <t>V001</t>
  </si>
  <si>
    <t>株式会社 GA technologis</t>
  </si>
  <si>
    <t>080-8908-1616</t>
  </si>
  <si>
    <t>g_fukasawa@ga-tech.co.jp</t>
  </si>
  <si>
    <t>106-6290 東京都港区六本木3-2-1 住友不動産六本木グランドタワー 40F</t>
  </si>
  <si>
    <t>平日 9:00-18:00</t>
  </si>
  <si>
    <t>深澤様</t>
  </si>
  <si>
    <t>東京23区全域・全国対応</t>
  </si>
  <si>
    <t>特徴：日本一の買取再販業社。サブ継承も可能。メモ：取引NG業社や賃貸先がアンビションはNG</t>
  </si>
  <si>
    <t>V002</t>
  </si>
  <si>
    <t>イリス管財株式会社</t>
  </si>
  <si>
    <t>080-6574-2445</t>
  </si>
  <si>
    <t>j.chikyu@iriskanzai.co.jp</t>
  </si>
  <si>
    <t>170-0013 東京都豊島区東池袋2-44-1 小林ビル2階</t>
  </si>
  <si>
    <t>平日 9:00-19:00</t>
  </si>
  <si>
    <t>知久様</t>
  </si>
  <si>
    <t>東京・神奈川</t>
  </si>
  <si>
    <t>特徴：イオン住とSBJ提携の為、表面賃料が高い物件や精神的瑕疵などに強み、レスポンス遅め。メモ：役員が郷之丸さんの知人</t>
  </si>
  <si>
    <t>V003</t>
  </si>
  <si>
    <t>GATES株式会社</t>
  </si>
  <si>
    <t>LINE連絡</t>
  </si>
  <si>
    <t>info@gates.co.jp</t>
  </si>
  <si>
    <t>160-6134 東京都新宿区西新宿8-17-1 住友不動産新宿グランドタワー34階</t>
  </si>
  <si>
    <t>平日 9:30-18:30</t>
  </si>
  <si>
    <t>中島専務 or 平井様</t>
  </si>
  <si>
    <t>東京・埼玉・千葉</t>
  </si>
  <si>
    <t>特徴：物上げもやるが買取再販もOK。アパート用地も2026年から本格的に買取して、年間20棟位の建築をスタート予定。メモ：西田会長が顧問している会社。旧セルゲートジャパン。</t>
  </si>
  <si>
    <t>V004</t>
  </si>
  <si>
    <t>株式会社アセットジャパン</t>
  </si>
  <si>
    <t>080-4324-8280</t>
  </si>
  <si>
    <t>tateno@assetjapan.co.jp</t>
  </si>
  <si>
    <t>104-0045 東京都中央区築地7-12-7 築地FTSビル3F</t>
  </si>
  <si>
    <t>平日 10:00-19:00</t>
  </si>
  <si>
    <t>木村部長・舘野様</t>
  </si>
  <si>
    <t>B</t>
  </si>
  <si>
    <t>都内・大阪エリアのみ</t>
  </si>
  <si>
    <t>特徴：ジャックスオンリーでコンパクトな築浅が得意。サブ継承はやらない。都内と大阪エリアのみ。</t>
  </si>
  <si>
    <t>V005</t>
  </si>
  <si>
    <t>株式会社エーシークリエイト</t>
  </si>
  <si>
    <t>090-2142-9627</t>
  </si>
  <si>
    <t>iijima@ac-create.jp</t>
  </si>
  <si>
    <t>151-0053 東京都渋谷区代々木2-10-8 ケイアイ新宿ビル6階</t>
  </si>
  <si>
    <t>飯島専務</t>
  </si>
  <si>
    <t>特徴：SBJ提携業社で評価高め。サブ継承も可能。</t>
  </si>
  <si>
    <t>V006</t>
  </si>
  <si>
    <t>株式会社ランドネット</t>
  </si>
  <si>
    <t>03-3986-3601</t>
  </si>
  <si>
    <t>tamura-hi@landnet.co.jp</t>
  </si>
  <si>
    <t>171-0022 東京都豊島区南池袋1-16-15 ダイヤゲート池袋7F</t>
  </si>
  <si>
    <t>田村 鴻人（主任）</t>
  </si>
  <si>
    <t>東京・埼玉</t>
  </si>
  <si>
    <t>第1営業部1課・主任 / Mobile: 090-1992-1967 / Fax: 03-3986-3979 / URL: http://landnet.co.jp/</t>
  </si>
  <si>
    <t>📊 業者情報サマリー</t>
  </si>
  <si>
    <t>登録業者数</t>
  </si>
  <si>
    <t>推奨ランクS</t>
  </si>
  <si>
    <t>推奨ランクA</t>
  </si>
  <si>
    <t>推奨ランクB</t>
  </si>
  <si>
    <t>• 業者情報は月次で更新することを推奨します</t>
  </si>
  <si>
    <t>• 推奨ランクは査定実績、対応速度、評価に基づいて設定してください</t>
  </si>
  <si>
    <t>• 新規業者は必ず「⚠️査定時の注意事項」シートで確認してください</t>
  </si>
  <si>
    <t>• 連絡先変更時は速やかに更新してください</t>
  </si>
  <si>
    <t>📌 重要な注意事項</t>
  </si>
  <si>
    <t>システムバージョン: v18.2.4 | 最終更新: 2025-11-26</t>
  </si>
  <si>
    <t>⚠️ 査定時の注意事項管理</t>
  </si>
  <si>
    <t>🚨 このシートは機密情報です
査定前に必ず確認し、注意レベル「高」の業者は回避してください</t>
  </si>
  <si>
    <t>No.</t>
  </si>
  <si>
    <t>正式社名</t>
  </si>
  <si>
    <t>通称</t>
  </si>
  <si>
    <t>設立年</t>
  </si>
  <si>
    <t>宅建業免許番号</t>
  </si>
  <si>
    <t>本店所在地</t>
  </si>
  <si>
    <t>注意レベル</t>
  </si>
  <si>
    <t>1</t>
  </si>
  <si>
    <t>NITOH株式会社</t>
  </si>
  <si>
    <t>ニトウ</t>
  </si>
  <si>
    <t>2006年（平成18年）</t>
  </si>
  <si>
    <t>東京都知事（4）第86265号</t>
  </si>
  <si>
    <t>東京都新宿区西新宿1-25-1 新宿センタービル 32階</t>
  </si>
  <si>
    <t>高</t>
  </si>
  <si>
    <t>買取業者として要注意</t>
  </si>
  <si>
    <t>2</t>
  </si>
  <si>
    <t>ダーウィンアセットパートナーズ株式会社</t>
  </si>
  <si>
    <t>ダーウィン</t>
  </si>
  <si>
    <t>2009年9月18日</t>
  </si>
  <si>
    <t>国土交通大臣（1）第10526号</t>
  </si>
  <si>
    <t>東京都港区南青山1-1-1 新青山ビル東館 3F</t>
  </si>
  <si>
    <t>取引条件に注意</t>
  </si>
  <si>
    <t>3</t>
  </si>
  <si>
    <t>株式会社Asucre Partners</t>
  </si>
  <si>
    <t>アスクルパートナーズ</t>
  </si>
  <si>
    <t>2012年3月</t>
  </si>
  <si>
    <t>国土交通大臣（1）第10474号</t>
  </si>
  <si>
    <t>東京都渋谷区桜丘町20-1 渋谷インフォスタワー 18F</t>
  </si>
  <si>
    <t>契約内容確認必須</t>
  </si>
  <si>
    <t>4</t>
  </si>
  <si>
    <t>株式会社ベルテックス</t>
  </si>
  <si>
    <t>ヴェルテックス</t>
  </si>
  <si>
    <t>2010年12月7日</t>
  </si>
  <si>
    <t>国土交通大臣（1）第9910号</t>
  </si>
  <si>
    <t>東京都新宿区西新宿6-8-1 住友不動産新宿オークタワー 9階</t>
  </si>
  <si>
    <t>査定額に注意</t>
  </si>
  <si>
    <t>5</t>
  </si>
  <si>
    <t>株式会社アセットリード</t>
  </si>
  <si>
    <t>アセットリード</t>
  </si>
  <si>
    <t>2000年3月27日</t>
  </si>
  <si>
    <t>東京都知事（5）第79542号</t>
  </si>
  <si>
    <t>東京都新宿区西新宿1-26-2 新宿野村ビル 26階</t>
  </si>
  <si>
    <t>対応に注意</t>
  </si>
  <si>
    <t>6</t>
  </si>
  <si>
    <t>大和インフィリンク株式会社</t>
  </si>
  <si>
    <t>大和インフィリンク</t>
  </si>
  <si>
    <t>2015年11月13日</t>
  </si>
  <si>
    <t>国土交通大臣（1）第10398号</t>
  </si>
  <si>
    <t>東京都新宿区新宿4-3-17 FORECAST新宿SOUTH 4階</t>
  </si>
  <si>
    <t>契約条件確認必須</t>
  </si>
  <si>
    <t>7</t>
  </si>
  <si>
    <t>SUNKASE株式会社</t>
  </si>
  <si>
    <t>サンカセ</t>
  </si>
  <si>
    <t>2018年8月24日</t>
  </si>
  <si>
    <t>東京都知事（1）第105944号</t>
  </si>
  <si>
    <t>東京都渋谷区南平台町2-12 渋谷南平台ビル 6階</t>
  </si>
  <si>
    <t>取引実績要確認</t>
  </si>
  <si>
    <t>8</t>
  </si>
  <si>
    <t>株式会社スタイルアジアンインベスター</t>
  </si>
  <si>
    <t>スタイルアジアン</t>
  </si>
  <si>
    <t>2019年1月11日</t>
  </si>
  <si>
    <t>大阪府知事（2）第60908号</t>
  </si>
  <si>
    <t>大阪府大阪市西区北堀江2-4-11 サンライズビル 2F / 5F</t>
  </si>
  <si>
    <t>大阪拠点、要注意</t>
  </si>
  <si>
    <t>📊 注意レベル「高」: 8社 | 総NG業者: 8社 | 最終更新: 2025-11-27</t>
  </si>
  <si>
    <t>📋 査定結果入力シート</t>
  </si>
  <si>
    <t>入力日：</t>
  </si>
  <si>
    <t>📌 査定対象物件：</t>
  </si>
  <si>
    <t>ブライズ品川南ル・リオン1402号室</t>
  </si>
  <si>
    <t>💡 物件選択：📋査定物件詳細シートで物件を選択すると、自動的に反映されます</t>
  </si>
  <si>
    <t>査定額（万円）</t>
  </si>
  <si>
    <t>査定日</t>
  </si>
  <si>
    <t>対応日数</t>
  </si>
  <si>
    <t>コメント・備考</t>
  </si>
  <si>
    <t>ランキング</t>
  </si>
  <si>
    <t>エーシークリエイト</t>
  </si>
  <si>
    <t>仲介手数料込</t>
  </si>
  <si>
    <t>GATES</t>
  </si>
  <si>
    <t>GA technologis</t>
  </si>
  <si>
    <t>取扱不可</t>
  </si>
  <si>
    <t>アセットジャパン</t>
  </si>
  <si>
    <t>イリス管財</t>
  </si>
  <si>
    <t>💡 注意：査定額の最高額は緑色、最低額は赤色で自動ハイライトされます（データ入力後に反映）</t>
  </si>
  <si>
    <t>📊 査定結果サマリー</t>
  </si>
  <si>
    <t>入力済み業者数：</t>
  </si>
  <si>
    <t>最高査定額：</t>
  </si>
  <si>
    <t>最低査定額：</t>
  </si>
  <si>
    <t>平均査定額：</t>
  </si>
  <si>
    <t>査定額の差：</t>
  </si>
  <si>
    <t>平均対応日数：</t>
  </si>
  <si>
    <t>📌 入力時の注意事項</t>
  </si>
  <si>
    <t>• 査定額は「万円」単位で入力してください（例：3,500万円 → 3500）</t>
  </si>
  <si>
    <t>• 業者名は🏢業者情報管理シートから選択することを推奨します</t>
  </si>
  <si>
    <t>• ⚠️査定時の注意事項シートで該当業者のリスク情報を必ず確認してください</t>
  </si>
  <si>
    <t>• ランキングは査定額の高い順に自動計算されます（1位が最高額）</t>
  </si>
  <si>
    <t>📈 このシートのデータは「査定比較分析」シートのチャート連携に使用されます</t>
  </si>
  <si>
    <t>※ 査定結果を入力すると、自動的にチャートが更新されます</t>
  </si>
  <si>
    <t>📋 査定物件詳細管理</t>
  </si>
  <si>
    <t>OCR機能を使用して物件情報を自動入力できます。査定物件の詳細データを一元管理し、比較分析に活用します。</t>
  </si>
  <si>
    <t>📸 OCR機能クイックガイド（5ステップ）</t>
  </si>
  <si>
    <t>📸 OCRクイックガイド（5ステップ）</t>
  </si>
  <si>
    <t>STEP 2: 物件資料（PDF、画像）をアップロード</t>
  </si>
  <si>
    <t>STEP 3: OCRボタンをクリックして自動抽出開始</t>
  </si>
  <si>
    <t>STEP 4: 抽出された情報を確認・修正</t>
  </si>
  <si>
    <t>STEP 5: このシートに自動反映（手動調整可能）</t>
  </si>
  <si>
    <t>5️⃣ カウント更新: 📸OCR機能セットアップ シートのB358を +1 する（重要！）</t>
  </si>
  <si>
    <t>✅ OCR使用回数は自動的に更新されます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</si>
  <si>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</si>
  <si>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物件詳細データ（OCR自動入力エリア）</t>
  </si>
  <si>
    <t>物件No.</t>
  </si>
  <si>
    <t>物件名</t>
  </si>
  <si>
    <t>入力日</t>
  </si>
  <si>
    <t>データソース</t>
  </si>
  <si>
    <t>最寄り駅</t>
  </si>
  <si>
    <t>駅徒歩分</t>
  </si>
  <si>
    <t>現在の賃料</t>
  </si>
  <si>
    <t>管理費</t>
  </si>
  <si>
    <t>修繕積立金</t>
  </si>
  <si>
    <t>マンション名</t>
  </si>
  <si>
    <t>所在地</t>
  </si>
  <si>
    <t>土地権利</t>
  </si>
  <si>
    <t>建ぺい率</t>
  </si>
  <si>
    <t>容積率</t>
  </si>
  <si>
    <t>用途地域</t>
  </si>
  <si>
    <t>建物構造</t>
  </si>
  <si>
    <t>築年月</t>
  </si>
  <si>
    <t>総戸数</t>
  </si>
  <si>
    <t>所在階</t>
  </si>
  <si>
    <t>専有面積</t>
  </si>
  <si>
    <t>バルコニー面積</t>
  </si>
  <si>
    <t>間取り</t>
  </si>
  <si>
    <t>向き</t>
  </si>
  <si>
    <t>管理形態</t>
  </si>
  <si>
    <t>駐車場</t>
  </si>
  <si>
    <t>現況</t>
  </si>
  <si>
    <t>引渡時期</t>
  </si>
  <si>
    <t>追加情報1</t>
  </si>
  <si>
    <t>追加情報2</t>
  </si>
  <si>
    <t>追加情報3</t>
  </si>
  <si>
    <t>追加情報4</t>
  </si>
  <si>
    <t>P001</t>
  </si>
  <si>
    <t>クレアシオン早稲田303号室</t>
  </si>
  <si>
    <t>早稲田駅</t>
  </si>
  <si>
    <t>5分</t>
  </si>
  <si>
    <t>東京都新宿区早稲田町</t>
  </si>
  <si>
    <t>クレアシオン早稲田</t>
  </si>
  <si>
    <t>RC造</t>
  </si>
  <si>
    <t>2015年3月</t>
  </si>
  <si>
    <t>50戸</t>
  </si>
  <si>
    <t>3階</t>
  </si>
  <si>
    <t>35.5㎡</t>
  </si>
  <si>
    <t>5.2㎡</t>
  </si>
  <si>
    <t>1LDK</t>
  </si>
  <si>
    <t>南向き</t>
  </si>
  <si>
    <t>12.5万円</t>
  </si>
  <si>
    <t>8,000円</t>
  </si>
  <si>
    <t>5,000円</t>
  </si>
  <si>
    <t>所有権</t>
  </si>
  <si>
    <t>60%</t>
  </si>
  <si>
    <t>200%</t>
  </si>
  <si>
    <t>第一種住居地域</t>
  </si>
  <si>
    <t>委託管理</t>
  </si>
  <si>
    <t>空き無し</t>
  </si>
  <si>
    <t>賃貸中</t>
  </si>
  <si>
    <t>相談可</t>
  </si>
  <si>
    <t>駅近好立地、学生需要高</t>
  </si>
  <si>
    <t>P002</t>
  </si>
  <si>
    <t>ファーストフィオーレ神戸駅前</t>
  </si>
  <si>
    <t>神戸駅</t>
  </si>
  <si>
    <t>3分</t>
  </si>
  <si>
    <t>兵庫県神戸市中央区</t>
  </si>
  <si>
    <t>SRC造</t>
  </si>
  <si>
    <t>2018年6月</t>
  </si>
  <si>
    <t>80戸</t>
  </si>
  <si>
    <t>5階</t>
  </si>
  <si>
    <t>42.8㎡</t>
  </si>
  <si>
    <t>6.5㎡</t>
  </si>
  <si>
    <t>東向き</t>
  </si>
  <si>
    <t>9.8万円</t>
  </si>
  <si>
    <t>7,500円</t>
  </si>
  <si>
    <t>4,500円</t>
  </si>
  <si>
    <t>80%</t>
  </si>
  <si>
    <t>400%</t>
  </si>
  <si>
    <t>商業地域</t>
  </si>
  <si>
    <t>月額15,000円</t>
  </si>
  <si>
    <t>即時可能</t>
  </si>
  <si>
    <t>神戸駅至近、商業施設充実</t>
  </si>
  <si>
    <t>P003</t>
  </si>
  <si>
    <t>早稲田</t>
  </si>
  <si>
    <t>26,500</t>
  </si>
  <si>
    <t>なし</t>
  </si>
  <si>
    <t>東京都新宿区弁天町2-17</t>
  </si>
  <si>
    <t>300%</t>
  </si>
  <si>
    <t>RC造地上10階建</t>
  </si>
  <si>
    <t>平成14年4月</t>
  </si>
  <si>
    <t>28戸</t>
  </si>
  <si>
    <t>20.45㎡</t>
  </si>
  <si>
    <t>バルコニー</t>
  </si>
  <si>
    <t>1K</t>
  </si>
  <si>
    <t>南</t>
  </si>
  <si>
    <t>全部委託</t>
  </si>
  <si>
    <t>あり</t>
  </si>
  <si>
    <t>空室</t>
  </si>
  <si>
    <t>相談</t>
  </si>
  <si>
    <t>日本フォルテ施工</t>
  </si>
  <si>
    <t>P004</t>
  </si>
  <si>
    <t>神戸</t>
  </si>
  <si>
    <t>21,900</t>
  </si>
  <si>
    <t>兵庫県神戸市中央区相生町5-16-12</t>
  </si>
  <si>
    <t>未記載</t>
  </si>
  <si>
    <t>RC造地上15階建</t>
  </si>
  <si>
    <t>平成31年3月</t>
  </si>
  <si>
    <t>70戸</t>
  </si>
  <si>
    <t>21.88㎡</t>
  </si>
  <si>
    <t>関電不動産開発施工</t>
  </si>
  <si>
    <t>P005</t>
  </si>
  <si>
    <t>手動入力</t>
  </si>
  <si>
    <t>品川</t>
  </si>
  <si>
    <t>ブライズ品川南ル・リオン</t>
  </si>
  <si>
    <t>東京都品川区南大井4-11-7</t>
  </si>
  <si>
    <t>-</t>
  </si>
  <si>
    <t>RC</t>
  </si>
  <si>
    <t>2008年7月</t>
  </si>
  <si>
    <t>14階</t>
  </si>
  <si>
    <t>マスターリース契約</t>
  </si>
  <si>
    <t>管理会社：㈱イーリアルティ / マスターリース手数料：賃料の5%(4,450円) / 振込手数料：220円 / 修繕積立金改定予定：2026年2月より6,600円</t>
  </si>
  <si>
    <t>📊 査定比較分析ダッシュボード</t>
  </si>
  <si>
    <t>このシートでは、査定結果入力シートに入力されたデータを自動的にグラフ化し、視覚的に比較分析します。</t>
  </si>
  <si>
    <t>📈 査定額分析グラフ</t>
  </si>
  <si>
    <t>最高査定額・最低査定額・平均査定額を一目で比較できます。査定結果入力シートにデータを入力すると、自動的に更新されます。</t>
  </si>
  <si>
    <t>このセクションでは、「査定結果入力」シートのデータを基に、業者別の査定額をグラフで比較できます。</t>
  </si>
  <si>
    <t>グラフエリア →</t>
  </si>
  <si>
    <t>このグラフは「査定結果入力」シートのデータを自動的にグラフ化します</t>
  </si>
  <si>
    <t>📝 使い方</t>
  </si>
  <si>
    <t>💡 使い方</t>
  </si>
  <si>
    <t>1. 「査定結果入力」シートで業者ごとの査定額を入力すると自動的に分析されます</t>
  </si>
  <si>
    <t>2. このシートに戻ると、自動的にグラフが更新されます</t>
  </si>
  <si>
    <t>3. グラフから業者間の査定額の違いを視覚的に確認できます</t>
  </si>
  <si>
    <t>📸 OCR機能セットアップ - 完全ガイド</t>
  </si>
  <si>
    <t>このシートには、OCR機能を使用するために必要なすべての情報が含まれています。</t>
  </si>
  <si>
    <t>以下のセクションを順番に進めてください。</t>
  </si>
  <si>
    <t>📖 目次（クイックナビゲーション）</t>
  </si>
  <si>
    <t xml:space="preserve">  1️⃣ 初期セットアップガイド（A10～）</t>
  </si>
  <si>
    <t xml:space="preserve">  2️⃣ Apps Scriptコード（A60～）</t>
  </si>
  <si>
    <t xml:space="preserve">  3️⃣ 使用回数カウンター（A160～）</t>
  </si>
  <si>
    <t xml:space="preserve">  4️⃣ トラブルシューティング（A210～）</t>
  </si>
  <si>
    <t>━━━━━━━━━━━━━━━━━━━━━━━━━━━━━━━━━━━━━━</t>
  </si>
  <si>
    <t>1️⃣ 初期セットアップガイド</t>
  </si>
  <si>
    <t>【ステップ1】Google Cloud Platformアカウント作成</t>
  </si>
  <si>
    <t>1. https://cloud.google.com/ にアクセス</t>
  </si>
  <si>
    <t>2. 「無料で開始」ボタンをクリック</t>
  </si>
  <si>
    <t>3. Googleアカウントでログイン（新規作成も可能）</t>
  </si>
  <si>
    <t>4. クレジットカード情報を登録（月間1,000回まで完全無料）</t>
  </si>
  <si>
    <t>5. プロジェクトを作成（例: 「不動産査定OCR」）</t>
  </si>
  <si>
    <t>【ステップ2】Cloud Vision APIの有効化</t>
  </si>
  <si>
    <t>1. GCPコンソール（https://console.cloud.google.com/）を開く</t>
  </si>
  <si>
    <t>2. 左メニュー「APIとサービス」→「ライブラリ」を選択</t>
  </si>
  <si>
    <t>3. 検索ボックスに「Cloud Vision API」と入力</t>
  </si>
  <si>
    <t>4. 検索結果から「Cloud Vision API」をクリック</t>
  </si>
  <si>
    <t>5. 「有効にする」ボタンをクリック</t>
  </si>
  <si>
    <t>【ステップ3】APIキーの作成</t>
  </si>
  <si>
    <t>1. 左メニュー「APIとサービス」→「認証情報」を選択</t>
  </si>
  <si>
    <t>2. 「認証情報を作成」→「APIキー」を選択</t>
  </si>
  <si>
    <t>3. 生成されたAPIキーをコピー（後で使用）</t>
  </si>
  <si>
    <t>4. （推奨）「キーを制限」をクリックし、「Cloud Vision API」のみに制限</t>
  </si>
  <si>
    <t>【ステップ4】Apps Scriptへのコード設定</t>
  </si>
  <si>
    <t>1. このスプレッドシートで「拡張機能」メニューを開く</t>
  </si>
  <si>
    <t>2. 「Apps Script」を選択</t>
  </si>
  <si>
    <t>3. Apps Scriptエディタが開きます</t>
  </si>
  <si>
    <t>4. 下記の「2️⃣ Apps Scriptコード」セクション（A60付近）のコードをすべてコピー</t>
  </si>
  <si>
    <t>5. Apps Scriptエディタに貼り付け（既存のコードは削除）</t>
  </si>
  <si>
    <t>6. コード内の「YOUR_API_KEY」を、先ほどコピーしたAPIキーに置き換え</t>
  </si>
  <si>
    <t>7. 保存アイコン（💾）をクリック</t>
  </si>
  <si>
    <t>【ステップ5】初回認証</t>
  </si>
  <si>
    <t>1. Apps Scriptエディタで「実行」ボタン（▶）の横のドロップダウンから「onOpen」を選択</t>
  </si>
  <si>
    <t>2. 「実行」ボタンをクリック</t>
  </si>
  <si>
    <t>3. 「承認が必要です」というダイアログが表示されます</t>
  </si>
  <si>
    <t>4. 「権限を確認」をクリック</t>
  </si>
  <si>
    <t>5. あなたのGoogleアカウントを選択</t>
  </si>
  <si>
    <t>6. 「詳細」→「（スプレッドシート名）に移動（安全ではないページ）」をクリック</t>
  </si>
  <si>
    <t>7. 「許可」をクリック</t>
  </si>
  <si>
    <t>📋 Apps Script 完全版コード（手動コピー＆ペースト用）</t>
  </si>
  <si>
    <t>📋 Apps Scriptコード（下記のコードをApps Scriptエディタに設定）</t>
  </si>
  <si>
    <t>📍 手順：ツール → スクリプトエディタ → 既存コードを削除 → 下記コードを貼り付け → 保存</t>
  </si>
  <si>
    <t>🔑 重要：15行目の「YOUR_API_KEY」を実際のAPIキーに置き換えてください</t>
  </si>
  <si>
    <t>// ============================================
// 不動産査定管理システム - OCR機能
// Google Cloud Vision API連携コード
// バージョン: v18.2.4 完全修正版
// 最終更新: 2025-11-25
// ============================================
// ⚠️ 重要: 下記のYOUR_API_KEYを実際のGoogle Cloud Vision APIキーに置き換えてください
const API_KEY = 'YOUR_GOOGLE_CLOUD_VISION_API_KEY_HERE';
/**
 * スプレッドシート起動時にカスタムメニューを追加
 */
function onOpen() {
  try {
    const ui = SpreadsheetApp.getUi();
    ui.createMenu('🔍 OCR機能')
      .addItem('📸 物件画像から情報抽出', 'extractPropertyInfo')
      .addToUi();
  } catch (error) {
    Logger.log('onOpen Error: ' + error.message);
  }
}
/**
 * メイン処理: 物件情報の抽出
 */
function extractPropertyInfo() {
  let ui;
  try {
    ui = SpreadsheetApp.getUi();
  } catch (error) {
    Logger.log('UI取得エラー: ' + error.message);
    return;
  }
  // 画像URLの入力
  const response = ui.prompt(
    '📸 画像URL入力',
    '物件情報が記載された画像のURLを入力してください:\n(Google DriveまたはWeb上の画像)',
    ui.ButtonSet.OK_CANCEL
  );
  if (response.getSelectedButton() !== ui.Button.OK) {
    return;
  }
  const imageUrl = response.getResponseText().trim();
  if (!imageUrl) {
    ui.alert('⚠️ エラー', '画像URLが入力されていません。', ui.ButtonSet.OK);
    return;
  }
  try {
    // Vision APIでテキスト抽出
    ui.alert('処理中', 'Google Cloud Vision APIでテキストを抽出しています...', ui.ButtonSet.OK);
    const extractedText = callVisionAPI(imageUrl);
    // テキストから物件データをパース
    const propertyData = parsePropertyData(extractedText);
    // データをシートに書き込み
    const propertyNo = writeToSheet(propertyData);
    ui.alert(
      '✅ 完了',
      '物件情報を「📋査定物件詳細」シートに登録しました。\n\n' +
      '物件No: ' + propertyNo + '\n' +
      '入力項目数: 31項目\n\n' +
      '⚠️ 重要: 📸OCR機能セットアップシートのB358セルを手動で+1してください',
      ui.ButtonSet.OK
    );
  } catch (error) {
    ui.alert('❌ エラー', 'エラーが発生しました:\n' + error.message, ui.ButtonSet.OK);
    Logger.log('Error: ' + error.message);
  }
}
/**
 * Google Cloud Vision APIを呼び出してテキストを抽出
 */
function callVisionAPI(imageUrl) {
  const visionUrl = 'https://vision.googleapis.com/v1/images:annotate?key=' + API_KEY;
  const payload = {
    requests: [{
      image: { source: { imageUri: imageUrl } },
      features: [{ type: 'TEXT_DETECTION', maxResults: 1 }]
    }]
  };
  const options = {
    method: 'post',
    contentType: 'application/json',
    payload: JSON.stringify(payload),
    muteHttpExceptions: true
  };
  const response = UrlFetchApp.fetch(visionUrl, options);
  const result = JSON.parse(response.getContentText());
  if (result.responses &amp;&amp; result.responses[0].textAnnotations) {
    return result.responses[0].textAnnotations[0].description;
  }
  throw new Error('画像からテキストを抽出できませんでした。画像URLと品質を確認してください。');
}
/**
 * テキストから特定の値を抽出
 */
function extractValue(text, pattern) {
  const match = text.match(pattern);
  return match ? match[1].trim() : '';
}
/**
 * テキストから31項目の物件データをパース
 */
function parsePropertyData(text) {
  const data = {
    propertyName: extractValue(text, /物件名[:：]\s*(.+?)(?:\n|$)/i),
    nearestStation: extractValue(text, /最寄[り]?駅[:：]\s*(.+?)(?:\n|$)/i),
    walkMinutes: extractValue(text, /徒歩[:：]\s*(.+?)(?:分|$)/i),
    currentRent: extractValue(text, /賃料[:：]\s*(.+?)(?:円|$)/i),
    managementFee: extractValue(text, /管理費[:：]\s*(.+?)(?:円|$)/i),
    repairReserve: extractValue(text, /修繕積立金[:：]\s*(.+?)(?:円|$)/i),
    buildingName: extractValue(text, /建物名[:：]\s*(.+?)(?:\n|$)/i),
    address: extractValue(text, /所在地[:：]\s*(.+?)(?:\n|$)/i),
    landRights: extractValue(text, /土地権利[:：]\s*(.+?)(?:\n|$)/i),
    buildingCoverage: extractValue(text, /建[ぺ]?い率[:：]\s*(.+?)(?:%|$)/i),
    floorAreaRatio: extractValue(text, /容積率[:：]\s*(.+?)(?:%|$)/i),
    zoning: extractValue(text, /用途地域[:：]\s*(.+?)(?:\n|$)/i),
    buildingStructure: extractValue(text, /建物構造[:：]\s*(.+?)(?:\n|$)/i),
    constructionDate: extractValue(text, /建築年月[:：]\s*(.+?)(?:\n|$)/i),
    totalUnits: extractValue(text, /総戸数[:：]\s*(.+?)(?:戸|$)/i),
    floor: extractValue(text, /階数[:：]\s*(.+?)(?:階|$)/i),
    exclusiveArea: extractValue(text, /専有面積[:：]\s*(.+?)(?:㎡|m2|$)/i),
    balconyArea: extractValue(text, /バルコニー面積[:：]\s*(.+?)(?:㎡|m2|$)/i),
    layout: extractValue(text, /間取[り]?[:：]\s*(.+?)(?:\n|$)/i),
    orientation: extractValue(text, /方角[:：]\s*(.+?)(?:\n|$)/i),
    managementType: extractValue(text, /管理形態[:：]\s*(.+?)(?:\n|$)/i),
    parking: extractValue(text, /駐車場[:：]\s*(.+?)(?:\n|$)/i),
    currentStatus: extractValue(text, /現況[:：]\s*(.+?)(?:\n|$)/i),
    deliveryTime: extractValue(text, /引[き]?渡[し]?時期[:：]\s*(.+?)(?:\n|$)/i),
    remarks: extractValue(text, /備考[:：]\s*(.+?)(?:\n|$)/i),
    price: extractValue(text, /価格[:：]\s*(.+?)(?:円|万円|$)/i),
    transactionType: extractValue(text, /取引形態[:：]\s*(.+?)(?:\n|$)/i),
    ownership: extractValue(text, /所有権[:：]\s*(.+?)(?:\n|$)/i),
    equipmentFacilities: extractValue(text, /設備[・･]施設[:：]\s*(.+?)(?:\n|$)/i),
    renovationHistory: extractValue(text, /リフォーム履歴[:：]\s*(.+?)(?:\n|$)/i),
    previousUse: extractValue(text, /前回使用[:：]\s*(.+?)(?:\n|$)/i)
  };
  return data;
}
/**
 * 抽出データを📋査定物件詳細シートに書き込み
 */
function writeToSheet(data) {
  const ss = SpreadsheetApp.getActiveSpreadsheet();
  const targetSheet = ss.getSheetByName('📋査定物件詳細');
  if (!targetSheet) {
    throw new Error('📋査定物件詳細シートが見つかりません');
  }
  // 次の空行を検索 (21行目から開始)
  let nextRow = 21;
  while (targetSheet.getRange(nextRow, 1).getValue() !== '') {
    nextRow++;
  }
  // 物件番号を生成
  const propertyNo = 'P' + String(nextRow - 20).padStart(4, '0');
  // 現在の日付を取得
  const today = new Date();
  const dateStr = Utilities.formatDate(today, Session.getScriptTimeZone(), 'yyyy-MM-dd');
  // データをA列からAG列（33列）に書き込み
  targetSheet.getRange(nextRow, 1).setValue(propertyNo); // A: 物件No.
  targetSheet.getRange(nextRow, 2).setValue(data.propertyName || ''); // B: 物件名
  targetSheet.getRange(nextRow, 3).setValue(dateStr); // C: 入力日
  targetSheet.getRange(nextRow, 4).setValue('OCR自動入力'); // D: データソース
  targetSheet.getRange(nextRow, 5).setValue(data.nearestStation || ''); // E: 最寄り駅
  targetSheet.getRange(nextRow, 6).setValue(data.walkMinutes || ''); // F: 駅徒歩分
  targetSheet.getRange(nextRow, 7).setValue(data.currentRent || ''); // G: 現在の賃料
  targetSheet.getRange(nextRow, 8).setValue(data.managementFee || ''); // H: 管理費
  targetSheet.getRange(nextRow, 9).setValue(data.repairReserve || ''); // I: 修繕積立金
  targetSheet.getRange(nextRow, 10).setValue(data.buildingName || ''); // J: 建物名
  targetSheet.getRange(nextRow, 11).setValue(data.address || ''); // K: 所在地
  targetSheet.getRange(nextRow, 12).setValue(data.landRights || ''); // L: 土地権利
  targetSheet.getRange(nextRow, 13).setValue(data.buildingCoverage || ''); // M: 建ぺい率
  targetSheet.getRange(nextRow, 14).setValue(data.floorAreaRatio || ''); // N: 容積率
  targetSheet.getRange(nextRow, 15).setValue(data.zoning || ''); // O: 用途地域
  targetSheet.getRange(nextRow, 16).setValue(data.buildingStructure || ''); // P: 建物構造
  targetSheet.getRange(nextRow, 17).setValue(data.constructionDate || ''); // Q: 建築年月
  targetSheet.getRange(nextRow, 18).setValue(data.totalUnits || ''); // R: 総戸数
  targetSheet.getRange(nextRow, 19).setValue(data.floor || ''); // S: 階数
  targetSheet.getRange(nextRow, 20).setValue(data.exclusiveArea || ''); // T: 専有面積
  targetSheet.getRange(nextRow, 21).setValue(data.balconyArea || ''); // U: バルコニー面積
  targetSheet.getRange(nextRow, 22).setValue(data.layout || ''); // V: 間取り
  targetSheet.getRange(nextRow, 23).setValue(data.orientation || ''); // W: 方角
  targetSheet.getRange(nextRow, 24).setValue(data.managementType || ''); // X: 管理形態
  targetSheet.getRange(nextRow, 25).setValue(data.parking || ''); // Y: 駐車場
  targetSheet.getRange(nextRow, 26).setValue(data.currentStatus || ''); // Z: 現況
  targetSheet.getRange(nextRow, 27).setValue(data.deliveryTime || ''); // AA: 引渡時期
  targetSheet.getRange(nextRow, 28).setValue(data.remarks || ''); // AB: 備考
  targetSheet.getRange(nextRow, 29).setValue(data.price || ''); // AC: 価格
  targetSheet.getRange(nextRow, 30).setValue(data.transactionType || ''); // AD: 取引形態
  targetSheet.getRange(nextRow, 31).setValue(data.ownership || ''); // AE: 所有権
  targetSheet.getRange(nextRow, 32).setValue(data.equipmentFacilities || ''); // AF: 設備・施設
  targetSheet.getRange(nextRow, 33).setValue(data.renovationHistory || ''); // AG: リフォーム履歴
  return propertyNo;
}</t>
  </si>
  <si>
    <t>1,000 回</t>
  </si>
  <si>
    <t>📊 OCR使用回数トラッカー</t>
  </si>
  <si>
    <t>対象月</t>
  </si>
  <si>
    <t>※毎月1日に自動リセット</t>
  </si>
  <si>
    <t>月間無料枠</t>
  </si>
  <si>
    <t>1,000回</t>
  </si>
  <si>
    <t>残り回数</t>
  </si>
  <si>
    <t>今月の使用回数</t>
  </si>
  <si>
    <t>回</t>
  </si>
  <si>
    <t>ステータス</t>
  </si>
  <si>
    <t>💡 重要な注意事項</t>
  </si>
  <si>
    <t>• 1,000回を超えると課金が発生します（約$1.50/回）
• 使用回数は手動で更新してください
• 毎月1日にB358セルを「0」にリセットしてください
• Google Cloud Platformの請求ダッシュボードで正確な使用状況を確認できます</t>
  </si>
  <si>
    <t>🔒 セキュリティに関する重要な注意事項</t>
  </si>
  <si>
    <t>リセット方法: セルB358を選択し「0」を入力</t>
  </si>
  <si>
    <t>月初リセットリマインダー</t>
  </si>
  <si>
    <t>⚠️ APIキーの保護</t>
  </si>
  <si>
    <t>Apps ScriptのAPIキーは機密情報です。第三者と共有しないでください。スプレッドシートを共有する際は、コードを削除するか、閲覧権限のみを付与してください。</t>
  </si>
  <si>
    <t>💾 データバックアップ</t>
  </si>
  <si>
    <t>定期的にスプレッドシートのコピーを作成し、Google Driveの別フォルダに保存してください。</t>
  </si>
  <si>
    <t>J</t>
  </si>
  <si>
    <t>K</t>
  </si>
  <si>
    <t>駅からの徒歩時間（分）</t>
  </si>
  <si>
    <t>L</t>
  </si>
  <si>
    <t>現在設定されている家賃</t>
  </si>
  <si>
    <t>M</t>
  </si>
  <si>
    <t>月額管理費</t>
  </si>
  <si>
    <t>N</t>
  </si>
  <si>
    <t>月額修繕積立金</t>
  </si>
  <si>
    <t>O</t>
  </si>
  <si>
    <t>敷金預金額</t>
  </si>
  <si>
    <t>敷金または保証金</t>
  </si>
  <si>
    <t>P</t>
  </si>
  <si>
    <t>管理体制</t>
  </si>
  <si>
    <t>管理方式（集金代行、サブリースなど）</t>
  </si>
  <si>
    <t>Q</t>
  </si>
  <si>
    <t>賃貸管理会社名</t>
  </si>
  <si>
    <t>賃貸管理を行う会社</t>
  </si>
  <si>
    <t>R</t>
  </si>
  <si>
    <t>建物管理会社名</t>
  </si>
  <si>
    <t>建物管理を行う会社</t>
  </si>
  <si>
    <t>バルコニーの面積</t>
  </si>
  <si>
    <t>T</t>
  </si>
  <si>
    <t>駐車場有無</t>
  </si>
  <si>
    <t>駐車場の有無</t>
  </si>
  <si>
    <t>U</t>
  </si>
  <si>
    <t>駐車場料金</t>
  </si>
  <si>
    <t>駐車場の月額料金</t>
  </si>
  <si>
    <t>V</t>
  </si>
  <si>
    <t>部屋の方角</t>
  </si>
  <si>
    <t>W</t>
  </si>
  <si>
    <t>入居状況（空室、賃貸中など）</t>
  </si>
  <si>
    <t>X</t>
  </si>
  <si>
    <t>設備</t>
  </si>
  <si>
    <t>設備情報（エアコン、給湯など）</t>
  </si>
  <si>
    <t>Y</t>
  </si>
  <si>
    <t>建物名</t>
  </si>
  <si>
    <t>建物の正式名称</t>
  </si>
  <si>
    <t>Z</t>
  </si>
  <si>
    <t>建物の住所</t>
  </si>
  <si>
    <t>AA</t>
  </si>
  <si>
    <t>土地の権利形態</t>
  </si>
  <si>
    <t>AB</t>
  </si>
  <si>
    <t>引渡条件</t>
  </si>
  <si>
    <t>物件引渡しの条件</t>
  </si>
  <si>
    <t>AC</t>
  </si>
  <si>
    <t>都市計画上の用途地域</t>
  </si>
  <si>
    <t>AD</t>
  </si>
  <si>
    <t>建ぺい率（%）</t>
  </si>
  <si>
    <t>AE</t>
  </si>
  <si>
    <t>容積率（%）</t>
  </si>
  <si>
    <t>AF</t>
  </si>
  <si>
    <t>その他特記事項</t>
  </si>
  <si>
    <t>その他の重要事項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</si>
</sst>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¥#,##0"/>
  </numFmts>
  <fonts count="66">
    <font>
      <sz val="11.0"/>
      <color theme="1"/>
      <name val="Calibri"/>
      <scheme val="minor"/>
    </font>
    <font>
      <b/>
      <sz val="11.0"/>
      <color theme="1"/>
      <name val="Aptos Narrow"/>
    </font>
    <font/>
    <font>
      <sz val="10.0"/>
      <color rgb="FF212529"/>
      <name val="Sans-serif"/>
    </font>
    <font>
      <sz val="10.0"/>
      <color rgb="FF000000"/>
      <name val="Sans-serif"/>
    </font>
    <font>
      <sz val="9.0"/>
      <color rgb="FF000000"/>
      <name val="Aptos Narrow"/>
    </font>
    <font>
      <sz val="10.0"/>
      <color theme="1"/>
      <name val="Aptos Narrow"/>
    </font>
    <font>
      <sz val="11.0"/>
      <color theme="1"/>
      <name val="Calibri"/>
    </font>
    <font>
      <b/>
      <sz val="60.0"/>
      <color rgb="FF1E3A8A"/>
      <name val="Calibri"/>
    </font>
    <font>
      <b/>
      <sz val="60.0"/>
      <color rgb="FF166534"/>
      <name val="Calibri"/>
    </font>
    <font>
      <b/>
      <sz val="9.0"/>
      <color theme="1"/>
      <name val="Aptos Narrow"/>
    </font>
    <font>
      <sz val="10.0"/>
      <color rgb="FF000000"/>
      <name val="Aptos Narrow"/>
    </font>
    <font>
      <b/>
      <sz val="10.0"/>
      <color theme="1"/>
      <name val="Aptos Narrow"/>
    </font>
    <font>
      <sz val="11.0"/>
      <color theme="1"/>
      <name val="Aptos Narrow"/>
    </font>
    <font>
      <b/>
      <sz val="11.0"/>
      <color rgb="FF000000"/>
      <name val="Aptos Narrow"/>
    </font>
    <font>
      <b/>
      <sz val="12.0"/>
      <color theme="1"/>
      <name val="Aptos Narrow"/>
    </font>
    <font>
      <b/>
      <sz val="20.0"/>
      <color rgb="FF000000"/>
      <name val="Aptos Narrow"/>
    </font>
    <font>
      <b/>
      <sz val="14.0"/>
      <color theme="1"/>
      <name val="Aptos Narrow"/>
    </font>
    <font>
      <b/>
      <sz val="10.0"/>
      <color rgb="FF059669"/>
      <name val="Aptos Narrow"/>
    </font>
    <font>
      <b/>
      <sz val="14.0"/>
      <color rgb="FF000000"/>
      <name val="Aptos Narrow"/>
    </font>
    <font>
      <sz val="11.0"/>
      <color rgb="FF000000"/>
      <name val="Aptos Narrow"/>
    </font>
    <font>
      <sz val="11.0"/>
      <color rgb="FF000000"/>
      <name val="Calibri"/>
    </font>
    <font>
      <b/>
      <sz val="10.0"/>
      <color rgb="FF000000"/>
      <name val="Aptos Narrow"/>
    </font>
    <font>
      <b/>
      <sz val="12.0"/>
      <color rgb="FF000000"/>
      <name val="Aptos Narrow"/>
    </font>
    <font>
      <b/>
      <sz val="12.0"/>
      <color rgb="FF1E3A8A"/>
      <name val="Aptos Narrow"/>
    </font>
    <font>
      <sz val="11.0"/>
      <color rgb="FF212529"/>
      <name val="Calibri"/>
    </font>
    <font>
      <b/>
      <sz val="11.0"/>
      <color rgb="FF1E3A8A"/>
      <name val="Aptos Narrow"/>
    </font>
    <font>
      <sz val="10.0"/>
      <color rgb="FF3B82F6"/>
      <name val="Aptos Narrow"/>
    </font>
    <font>
      <b/>
      <sz val="11.0"/>
      <color rgb="FFFFFFFF"/>
      <name val="Meiryo"/>
    </font>
    <font>
      <sz val="10.0"/>
      <color rgb="FF212529"/>
      <name val="Meiryo"/>
    </font>
    <font>
      <b/>
      <sz val="10.0"/>
      <color rgb="FFFFFFFF"/>
      <name val="Aptos Narrow"/>
    </font>
    <font>
      <i/>
      <sz val="9.0"/>
      <color rgb="FF212529"/>
      <name val="Meiryo"/>
    </font>
    <font>
      <sz val="10.0"/>
      <color rgb="FF155724"/>
      <name val="Meiryo"/>
    </font>
    <font>
      <sz val="11.0"/>
      <color rgb="FF000101"/>
      <name val="Arial"/>
    </font>
    <font>
      <sz val="11.0"/>
      <color rgb="FFDC2626"/>
      <name val="Aptos Narrow"/>
    </font>
    <font>
      <sz val="11.0"/>
      <color rgb="FF6B7280"/>
      <name val="Aptos Narrow"/>
    </font>
    <font>
      <b/>
      <sz val="20.0"/>
      <color theme="1"/>
      <name val="Aptos Narrow"/>
    </font>
    <font>
      <i/>
      <sz val="10.0"/>
      <color rgb="FFFFFFFF"/>
      <name val="Meiryo"/>
    </font>
    <font>
      <b/>
      <sz val="12.0"/>
      <color rgb="FF212529"/>
      <name val="Meiryo"/>
    </font>
    <font>
      <sz val="11.0"/>
      <color rgb="FF0066CC"/>
      <name val="Aptos Narrow"/>
    </font>
    <font>
      <sz val="11.0"/>
      <color rgb="FFFFFFFF"/>
      <name val="Meiryo"/>
    </font>
    <font>
      <b/>
      <sz val="10.0"/>
      <color rgb="FF212529"/>
      <name val="Meiryo"/>
    </font>
    <font>
      <sz val="11.0"/>
      <color rgb="FF212529"/>
      <name val="Meiryo"/>
    </font>
    <font>
      <i/>
      <sz val="11.0"/>
      <color theme="1"/>
      <name val="Aptos Narrow"/>
    </font>
    <font>
      <b/>
      <sz val="11.0"/>
      <color rgb="FF1E40AF"/>
      <name val="Aptos Narrow"/>
    </font>
    <font>
      <sz val="11.0"/>
      <color rgb="FF1E3A8A"/>
      <name val="Aptos Narrow"/>
    </font>
    <font>
      <sz val="11.0"/>
      <color rgb="FF4472C4"/>
      <name val="Aptos Narrow"/>
    </font>
    <font>
      <sz val="11.0"/>
      <color rgb="FF006100"/>
      <name val="Aptos Narrow"/>
    </font>
    <font>
      <sz val="11.0"/>
      <color rgb="FF9C0006"/>
      <name val="Aptos Narrow"/>
    </font>
    <font>
      <sz val="11.0"/>
      <color rgb="FFFFC000"/>
      <name val="Aptos Narrow"/>
    </font>
    <font>
      <sz val="11.0"/>
      <color rgb="FF212529"/>
      <name val="Aptos Narrow"/>
    </font>
    <font>
      <sz val="10.0"/>
      <color rgb="FF1E3A8A"/>
      <name val="Aptos Narrow"/>
    </font>
    <font>
      <sz val="11.0"/>
      <color rgb="FFFFFFFF"/>
      <name val="Aptos Narrow"/>
    </font>
    <font>
      <b/>
      <sz val="10.0"/>
      <color rgb="FF1E3A8A"/>
      <name val="Aptos Narrow"/>
    </font>
    <font>
      <b/>
      <sz val="11.0"/>
      <color rgb="FFFFFFFF"/>
      <name val="Aptos Narrow"/>
    </font>
    <font>
      <sz val="10.0"/>
      <color rgb="FFFFFFFF"/>
      <name val="Aptos Narrow"/>
    </font>
    <font>
      <sz val="10.0"/>
      <color theme="1"/>
      <name val="Calibri"/>
    </font>
    <font>
      <sz val="10.0"/>
      <color rgb="FF212529"/>
      <name val="Calibri"/>
    </font>
    <font>
      <sz val="10.0"/>
      <color rgb="FF212529"/>
      <name val="Aptos Narrow"/>
    </font>
    <font>
      <b/>
      <sz val="12.0"/>
      <color rgb="FFFFFFFF"/>
      <name val="Aptos Narrow"/>
    </font>
    <font>
      <b/>
      <sz val="14.0"/>
      <color rgb="FF1E3A8A"/>
      <name val="Aptos Narrow"/>
    </font>
    <font>
      <sz val="9.0"/>
      <color rgb="FFC00000"/>
      <name val="Consolas"/>
    </font>
    <font>
      <sz val="11.0"/>
      <color rgb="FF28A745"/>
      <name val="Aptos Narrow"/>
    </font>
    <font>
      <sz val="11.0"/>
      <color rgb="FF856404"/>
      <name val="Aptos Narrow"/>
    </font>
    <font>
      <b/>
      <sz val="14.0"/>
      <color rgb="FFFFFFFF"/>
      <name val="Aptos Narrow"/>
    </font>
    <font>
      <sz val="9.0"/>
      <color rgb="FF00FF00"/>
      <name val="Courier New"/>
    </font>
  </fonts>
  <fills count="33">
    <fill>
      <patternFill patternType="none"/>
    </fill>
    <fill>
      <patternFill patternType="lightGray"/>
    </fill>
    <fill>
      <patternFill patternType="solid">
        <fgColor rgb="FFE0E7FF"/>
        <bgColor rgb="FFE0E7F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8F9FA"/>
        <bgColor rgb="FFF8F9FA"/>
      </patternFill>
    </fill>
    <fill>
      <patternFill patternType="solid">
        <fgColor rgb="FFCBD5E1"/>
        <bgColor rgb="FFCBD5E1"/>
      </patternFill>
    </fill>
    <fill>
      <patternFill patternType="solid">
        <fgColor rgb="FFFFFBEB"/>
        <bgColor rgb="FFFFFBEB"/>
      </patternFill>
    </fill>
    <fill>
      <patternFill patternType="solid">
        <fgColor rgb="FFF3F4F6"/>
        <bgColor rgb="FFF3F4F6"/>
      </patternFill>
    </fill>
    <fill>
      <patternFill patternType="solid">
        <fgColor rgb="FF0066CC"/>
        <bgColor rgb="FF0066CC"/>
      </patternFill>
    </fill>
    <fill>
      <patternFill patternType="solid">
        <fgColor rgb="FFE5E7EB"/>
        <bgColor rgb="FFE5E7EB"/>
      </patternFill>
    </fill>
    <fill>
      <patternFill patternType="solid">
        <fgColor rgb="FF16A34A"/>
        <bgColor rgb="FF16A34A"/>
      </patternFill>
    </fill>
    <fill>
      <patternFill patternType="solid">
        <fgColor rgb="FF2563EB"/>
        <bgColor rgb="FF2563EB"/>
      </patternFill>
    </fill>
    <fill>
      <patternFill patternType="solid">
        <fgColor rgb="FFF59E0B"/>
        <bgColor rgb="FFF59E0B"/>
      </patternFill>
    </fill>
    <fill>
      <patternFill patternType="solid">
        <fgColor rgb="FFD4EDDA"/>
        <bgColor rgb="FFD4EDDA"/>
      </patternFill>
    </fill>
    <fill>
      <patternFill patternType="solid">
        <fgColor rgb="FFFEE2E2"/>
        <bgColor rgb="FFFEE2E2"/>
      </patternFill>
    </fill>
    <fill>
      <patternFill patternType="solid">
        <fgColor rgb="FF28A745"/>
        <bgColor rgb="FF28A745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FAFAFA"/>
        <bgColor rgb="FFFAFAFA"/>
      </patternFill>
    </fill>
    <fill>
      <patternFill patternType="solid">
        <fgColor rgb="FF6C757D"/>
        <bgColor rgb="FF6C757D"/>
      </patternFill>
    </fill>
    <fill>
      <patternFill patternType="solid">
        <fgColor rgb="FF4472C4"/>
        <bgColor rgb="FF4472C4"/>
      </patternFill>
    </fill>
    <fill>
      <patternFill patternType="solid">
        <fgColor rgb="FF1E3A8A"/>
        <bgColor rgb="FF1E3A8A"/>
      </patternFill>
    </fill>
    <fill>
      <patternFill patternType="solid">
        <fgColor rgb="FF1E40AF"/>
        <bgColor rgb="FF1E40AF"/>
      </patternFill>
    </fill>
    <fill>
      <patternFill patternType="solid">
        <fgColor rgb="FF6610F2"/>
        <bgColor rgb="FF6610F2"/>
      </patternFill>
    </fill>
    <fill>
      <patternFill patternType="solid">
        <fgColor rgb="FFFFF3CD"/>
        <bgColor rgb="FFFFF3CD"/>
      </patternFill>
    </fill>
    <fill>
      <patternFill patternType="solid">
        <fgColor rgb="FFC00000"/>
        <bgColor rgb="FFC00000"/>
      </patternFill>
    </fill>
    <fill>
      <patternFill patternType="solid">
        <fgColor rgb="FFE7F3FF"/>
        <bgColor rgb="FFE7F3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212529"/>
        <bgColor rgb="FF212529"/>
      </patternFill>
    </fill>
  </fills>
  <borders count="138">
    <border/>
    <border>
      <left style="thin">
        <color rgb="FFE5E7EB"/>
      </lef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/>
      <top/>
      <bottom/>
    </border>
    <border>
      <top/>
      <bottom/>
    </border>
    <border>
      <left/>
      <right/>
      <top/>
      <bottom/>
    </border>
    <border>
      <left/>
      <top/>
      <bottom style="thin">
        <color rgb="FFE5E7EB"/>
      </bottom>
    </border>
    <border>
      <top/>
      <bottom style="thin">
        <color rgb="FFE5E7EB"/>
      </bottom>
    </border>
    <border>
      <right style="thin">
        <color rgb="FFE5E7EB"/>
      </right>
      <top/>
      <bottom style="thin">
        <color rgb="FFE5E7EB"/>
      </bottom>
    </border>
    <border>
      <left style="thin">
        <color rgb="FFCBD5E1"/>
      </left>
      <top style="thin">
        <color rgb="FFCBD5E1"/>
      </top>
      <bottom/>
    </border>
    <border>
      <top style="thin">
        <color rgb="FFCBD5E1"/>
      </top>
      <bottom/>
    </border>
    <border>
      <left style="thin">
        <color rgb="FFCBD5E1"/>
      </left>
      <top style="thin">
        <color rgb="FFCBD5E1"/>
      </top>
      <bottom style="thin">
        <color rgb="FFE5E7EB"/>
      </bottom>
    </border>
    <border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E5E7EB"/>
      </left>
      <top style="thin">
        <color rgb="FFE5E7EB"/>
      </top>
    </border>
    <border>
      <top style="thin">
        <color rgb="FFE5E7EB"/>
      </top>
    </border>
    <border>
      <right style="thin">
        <color rgb="FFE5E7EB"/>
      </right>
      <top style="thin">
        <color rgb="FFE5E7EB"/>
      </top>
    </border>
    <border>
      <left/>
      <top/>
    </border>
    <border>
      <top/>
    </border>
    <border>
      <right style="thin">
        <color rgb="FFE5E7EB"/>
      </right>
      <top/>
    </border>
    <border>
      <left style="thin">
        <color rgb="FFE5E7EB"/>
      </left>
    </border>
    <border>
      <right style="thin">
        <color rgb="FFE5E7EB"/>
      </right>
    </border>
    <border>
      <left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/>
      <bottom style="thin">
        <color rgb="FFE5E7EB"/>
      </bottom>
    </border>
    <border>
      <right/>
      <top/>
      <bottom/>
    </border>
    <border>
      <left style="thin">
        <color rgb="FF9CA3AF"/>
      </left>
      <right style="thin">
        <color rgb="FF9CA3AF"/>
      </right>
    </border>
    <border>
      <left style="thin">
        <color rgb="FF9CA3AF"/>
      </left>
    </border>
    <border>
      <right style="thin">
        <color rgb="FF9CA3AF"/>
      </right>
    </border>
    <border>
      <left style="thin">
        <color rgb="FF9CA3AF"/>
      </left>
      <bottom style="thin">
        <color rgb="FFE5E7EB"/>
      </bottom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left style="thin">
        <color rgb="FFD1D5DB"/>
      </left>
      <top style="thin">
        <color rgb="FFD1D5DB"/>
      </top>
    </border>
    <border>
      <top style="thin">
        <color rgb="FFD1D5DB"/>
      </top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right style="thick">
        <color rgb="FF495057"/>
      </right>
      <top style="thick">
        <color rgb="FF495057"/>
      </top>
    </border>
    <border>
      <left style="medium">
        <color rgb="FFDEE2E6"/>
      </left>
      <right style="thick">
        <color rgb="FF495057"/>
      </right>
      <top style="thick">
        <color rgb="FF495057"/>
      </top>
      <bottom style="thick">
        <color rgb="FF0066CC"/>
      </bottom>
    </border>
    <border>
      <right style="thick">
        <color rgb="FF495057"/>
      </right>
      <bottom style="medium">
        <color rgb="FFDEE2E6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1E40AF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top style="medium">
        <color rgb="FFDEE2E6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dotted">
        <color rgb="FFE9ECEF"/>
      </top>
      <bottom style="thin">
        <color rgb="FFE5E7EB"/>
      </bottom>
    </border>
    <border>
      <left style="dotted">
        <color rgb="FFE9ECEF"/>
      </left>
      <right style="thick">
        <color rgb="FF495057"/>
      </right>
      <top style="dotted">
        <color rgb="FFE9ECEF"/>
      </top>
      <bottom style="dotted">
        <color rgb="FFE9ECEF"/>
      </bottom>
    </border>
    <border>
      <left style="medium">
        <color rgb="FF28A745"/>
      </left>
      <right style="medium">
        <color rgb="FF28A745"/>
      </right>
      <top style="medium">
        <color rgb="FF28A745"/>
      </top>
      <bottom style="medium">
        <color rgb="FF28A745"/>
      </bottom>
    </border>
    <border>
      <left style="medium">
        <color rgb="FFD1D5DB"/>
      </left>
      <top style="thin">
        <color rgb="FFD1D5DB"/>
      </top>
      <bottom/>
    </border>
    <border>
      <top style="thin">
        <color rgb="FFD1D5DB"/>
      </top>
      <bottom/>
    </border>
    <border>
      <left style="medium">
        <color rgb="FFD1D5DB"/>
      </left>
      <top style="thin">
        <color rgb="FFD1D5DB"/>
      </top>
    </border>
    <border>
      <left style="medium">
        <color rgb="FFD1D5DB"/>
      </left>
      <top style="medium">
        <color rgb="FFD1D5DB"/>
      </top>
      <bottom/>
    </border>
    <border>
      <top style="medium">
        <color rgb="FFD1D5DB"/>
      </top>
      <bottom/>
    </border>
    <border>
      <right/>
      <top/>
    </border>
    <border>
      <left/>
      <bottom/>
    </border>
    <border>
      <bottom/>
    </border>
    <border>
      <right/>
      <bottom/>
    </border>
    <border>
      <top style="thick">
        <color rgb="FF495057"/>
      </top>
      <bottom style="medium">
        <color rgb="FF0066CC"/>
      </bottom>
    </border>
    <border>
      <right style="thick">
        <color rgb="FF495057"/>
      </right>
      <top style="thick">
        <color rgb="FF495057"/>
      </top>
      <bottom style="medium">
        <color rgb="FF0066CC"/>
      </bottom>
    </border>
    <border>
      <bottom style="thin">
        <color rgb="FFDEE2E6"/>
      </bottom>
    </border>
    <border>
      <right style="thick">
        <color rgb="FF495057"/>
      </right>
      <bottom style="thin">
        <color rgb="FFDEE2E6"/>
      </bottom>
    </border>
    <border>
      <top style="medium">
        <color rgb="FF495057"/>
      </top>
      <bottom style="thick">
        <color rgb="FF495057"/>
      </bottom>
    </border>
    <border>
      <left style="medium">
        <color rgb="FFFFC107"/>
      </left>
      <right style="medium">
        <color rgb="FFFFC107"/>
      </right>
      <top style="medium">
        <color rgb="FF495057"/>
      </top>
      <bottom style="thick">
        <color rgb="FF495057"/>
      </bottom>
    </border>
    <border>
      <left style="medium">
        <color rgb="FF0066CC"/>
      </left>
      <right style="medium">
        <color rgb="FF0066CC"/>
      </right>
      <top style="medium">
        <color rgb="FF495057"/>
      </top>
      <bottom style="thick">
        <color rgb="FF495057"/>
      </bottom>
    </border>
    <border>
      <right style="thick">
        <color rgb="FF495057"/>
      </right>
      <top style="medium">
        <color rgb="FF495057"/>
      </top>
      <bottom style="thick">
        <color rgb="FF495057"/>
      </bottom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DEE2E6"/>
      </left>
      <right style="dotted">
        <color rgb="FFDEE2E6"/>
      </right>
      <top style="dotted">
        <color rgb="FFDEE2E6"/>
      </top>
      <bottom style="dotted">
        <color rgb="FFDEE2E6"/>
      </bottom>
    </border>
    <border>
      <left style="medium">
        <color rgb="FFFFC107"/>
      </left>
      <right style="medium">
        <color rgb="FFFFC107"/>
      </right>
    </border>
    <border>
      <left style="medium">
        <color rgb="FF0066CC"/>
      </left>
      <right style="medium">
        <color rgb="FF0066CC"/>
      </right>
    </border>
    <border>
      <right style="thick">
        <color rgb="FF495057"/>
      </right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5E7EB"/>
      </left>
      <right style="thin">
        <color rgb="FF000000"/>
      </right>
      <top style="thin">
        <color rgb="FFE5E7E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5E7EB"/>
      </top>
      <bottom style="thin">
        <color rgb="FF000000"/>
      </bottom>
    </border>
    <border>
      <left style="thin">
        <color rgb="FFE5E7EB"/>
      </left>
      <bottom style="dotted">
        <color rgb="FFDEE2E6"/>
      </bottom>
    </border>
    <border>
      <bottom style="dotted">
        <color rgb="FFDEE2E6"/>
      </bottom>
    </border>
    <border>
      <right style="dotted">
        <color rgb="FFDEE2E6"/>
      </right>
      <bottom style="dotted">
        <color rgb="FFDEE2E6"/>
      </bottom>
    </border>
    <border>
      <left style="medium">
        <color rgb="FFFFC107"/>
      </left>
      <right style="medium">
        <color rgb="FFFFC107"/>
      </right>
      <bottom style="medium">
        <color rgb="FFDEE2E6"/>
      </bottom>
    </border>
    <border>
      <left style="medium">
        <color rgb="FF0066CC"/>
      </left>
      <right style="medium">
        <color rgb="FF0066CC"/>
      </right>
      <bottom style="medium">
        <color rgb="FFDEE2E6"/>
      </bottom>
    </border>
    <border>
      <bottom style="medium">
        <color rgb="FFDEE2E6"/>
      </bottom>
    </border>
    <border>
      <left style="thin">
        <color rgb="FFE5E7EB"/>
      </left>
      <top style="thin">
        <color rgb="FFE5E7EB"/>
      </top>
      <bottom style="dotted">
        <color rgb="FFDEE2E6"/>
      </bottom>
    </border>
    <border>
      <top style="thin">
        <color rgb="FFE5E7EB"/>
      </top>
      <bottom style="dotted">
        <color rgb="FFDEE2E6"/>
      </bottom>
    </border>
    <border>
      <right style="dotted">
        <color rgb="FFDEE2E6"/>
      </right>
      <top style="thin">
        <color rgb="FFE5E7EB"/>
      </top>
      <bottom style="dotted">
        <color rgb="FFDEE2E6"/>
      </bottom>
    </border>
    <border>
      <left style="thick">
        <color rgb="FF495057"/>
      </left>
    </border>
    <border>
      <right style="medium">
        <color rgb="FF0066CC"/>
      </right>
    </border>
    <border>
      <left style="thin">
        <color rgb="FFE5E7EB"/>
      </left>
      <top style="thin">
        <color rgb="FFCCCCCC"/>
      </top>
      <bottom style="dotted">
        <color rgb="FFDEE2E6"/>
      </bottom>
    </border>
    <border>
      <top style="thin">
        <color rgb="FFCCCCCC"/>
      </top>
      <bottom style="dotted">
        <color rgb="FFDEE2E6"/>
      </bottom>
    </border>
    <border>
      <right style="dotted">
        <color rgb="FFDEE2E6"/>
      </right>
      <top style="thin">
        <color rgb="FFCCCCCC"/>
      </top>
      <bottom style="dotted">
        <color rgb="FFDEE2E6"/>
      </bottom>
    </border>
    <border>
      <left style="thick">
        <color rgb="FF495057"/>
      </left>
      <bottom style="medium">
        <color rgb="FFDEE2E6"/>
      </bottom>
    </border>
    <border>
      <right style="medium">
        <color rgb="FF0066CC"/>
      </right>
      <bottom style="medium">
        <color rgb="FFDEE2E6"/>
      </bottom>
    </border>
    <border>
      <left style="thin">
        <color rgb="FFE5E7EB"/>
      </left>
      <top style="thin">
        <color rgb="FF000000"/>
      </top>
      <bottom style="dotted">
        <color rgb="FFDEE2E6"/>
      </bottom>
    </border>
    <border>
      <top style="thin">
        <color rgb="FF000000"/>
      </top>
      <bottom style="dotted">
        <color rgb="FFDEE2E6"/>
      </bottom>
    </border>
    <border>
      <right style="dotted">
        <color rgb="FFDEE2E6"/>
      </right>
      <top style="thin">
        <color rgb="FF000000"/>
      </top>
      <bottom style="dotted">
        <color rgb="FFDEE2E6"/>
      </bottom>
    </border>
    <border>
      <bottom style="medium">
        <color rgb="FF0066CC"/>
      </bottom>
    </border>
    <border>
      <right style="thick">
        <color rgb="FF495057"/>
      </right>
      <bottom style="medium">
        <color rgb="FF0066CC"/>
      </bottom>
    </border>
    <border>
      <left style="thin">
        <color rgb="FFE5E7EB"/>
      </left>
      <right style="thin">
        <color rgb="FFE5E7EB"/>
      </right>
      <top style="dotted">
        <color rgb="FFDEE2E6"/>
      </top>
      <bottom style="thin">
        <color rgb="FFE5E7EB"/>
      </bottom>
    </border>
    <border>
      <bottom style="medium">
        <color rgb="FFE5E7EB"/>
      </bottom>
    </border>
    <border>
      <left style="thin">
        <color rgb="FFE5E7EB"/>
      </left>
      <right style="thin">
        <color rgb="FFE5E7EB"/>
      </right>
      <top style="medium">
        <color rgb="FF000000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medium">
        <color rgb="FFD1D5D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CCCCCC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dotted">
        <color rgb="FFCCCCCC"/>
      </top>
      <bottom style="thin">
        <color rgb="FFE5E7EB"/>
      </bottom>
    </border>
    <border>
      <right style="thick">
        <color rgb="FF0066CC"/>
      </right>
    </border>
    <border>
      <right style="thick">
        <color rgb="FF0066CC"/>
      </right>
      <bottom style="medium">
        <color rgb="FFDEE2E6"/>
      </bottom>
    </border>
    <border>
      <left style="thin">
        <color rgb="FFE5E7EB"/>
      </left>
      <top style="thin">
        <color rgb="FFCCCCCC"/>
      </top>
      <bottom style="medium">
        <color rgb="FFDEE2E6"/>
      </bottom>
    </border>
    <border>
      <top style="thin">
        <color rgb="FFCCCCCC"/>
      </top>
      <bottom style="medium">
        <color rgb="FFDEE2E6"/>
      </bottom>
    </border>
    <border>
      <right style="thick">
        <color rgb="FF495057"/>
      </right>
      <top style="thin">
        <color rgb="FFCCCCCC"/>
      </top>
      <bottom style="medium">
        <color rgb="FFDEE2E6"/>
      </bottom>
    </border>
    <border>
      <left style="thin">
        <color rgb="FFE5E7EB"/>
      </left>
      <top style="thin">
        <color rgb="FFE5E7EB"/>
      </top>
      <bottom style="thin">
        <color rgb="FFE0E0E0"/>
      </bottom>
    </border>
    <border>
      <top style="thin">
        <color rgb="FFE5E7EB"/>
      </top>
      <bottom style="thin">
        <color rgb="FFE0E0E0"/>
      </bottom>
    </border>
    <border>
      <right style="thick">
        <color rgb="FF495057"/>
      </right>
      <top style="thin">
        <color rgb="FFE5E7EB"/>
      </top>
      <bottom style="thin">
        <color rgb="FFE0E0E0"/>
      </bottom>
    </border>
    <border>
      <left style="thin">
        <color rgb="FFE5E7EB"/>
      </left>
      <top style="thin">
        <color rgb="FFD0D0D0"/>
      </top>
      <bottom style="thin">
        <color rgb="FFE0E0E0"/>
      </bottom>
    </border>
    <border>
      <top style="thin">
        <color rgb="FFD0D0D0"/>
      </top>
      <bottom style="thin">
        <color rgb="FFE0E0E0"/>
      </bottom>
    </border>
    <border>
      <right style="thick">
        <color rgb="FF495057"/>
      </right>
      <top style="thin">
        <color rgb="FFD0D0D0"/>
      </top>
      <bottom style="thin">
        <color rgb="FFE0E0E0"/>
      </bottom>
    </border>
    <border>
      <left style="thin">
        <color rgb="FFE5E7EB"/>
      </left>
      <right style="thin">
        <color rgb="FFE5E7EB"/>
      </right>
    </border>
    <border>
      <left style="thick">
        <color rgb="FF6610F2"/>
      </left>
    </border>
    <border>
      <left style="thick">
        <color rgb="FF6610F2"/>
      </left>
      <top style="medium">
        <color rgb="FF6610F2"/>
      </top>
      <bottom style="thick">
        <color rgb="FF6610F2"/>
      </bottom>
    </border>
    <border>
      <left style="thick">
        <color rgb="FF6610F2"/>
      </left>
      <bottom style="medium">
        <color rgb="FFDEE2E6"/>
      </bottom>
    </border>
    <border>
      <left style="thick">
        <color rgb="FF6610F2"/>
      </left>
      <top style="medium">
        <color rgb="FF6610F2"/>
      </top>
      <bottom style="medium">
        <color rgb="FFDEE2E6"/>
      </bottom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bottom style="medium">
        <color rgb="FFDEE2E6"/>
      </bottom>
    </border>
    <border>
      <left/>
      <right style="thin">
        <color rgb="FFE5E7EB"/>
      </right>
      <top/>
      <bottom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</border>
    <border>
      <top style="thin">
        <color rgb="FFD1D5DB"/>
      </top>
      <bottom style="thin">
        <color rgb="FFE5E7EB"/>
      </bottom>
    </border>
    <border>
      <right style="thin">
        <color rgb="FFE5E7EB"/>
      </right>
      <top style="thin">
        <color rgb="FFD1D5DB"/>
      </top>
      <bottom style="thin">
        <color rgb="FFE5E7EB"/>
      </bottom>
    </border>
    <border>
      <left style="thick">
        <color rgb="FF6610F2"/>
      </left>
      <right style="thick">
        <color rgb="FF6610F2"/>
      </right>
      <top style="medium">
        <color rgb="FFFFC107"/>
      </top>
      <bottom style="medium">
        <color rgb="FFFFC107"/>
      </bottom>
    </border>
    <border>
      <top style="medium">
        <color rgb="FFFFC107"/>
      </top>
      <bottom style="medium">
        <color rgb="FFFFC107"/>
      </bottom>
    </border>
    <border>
      <right style="thick">
        <color rgb="FF6610F2"/>
      </right>
      <top style="medium">
        <color rgb="FFFFC107"/>
      </top>
      <bottom style="medium">
        <color rgb="FFFFC107"/>
      </bottom>
    </border>
    <border>
      <left style="thick">
        <color rgb="FF6610F2"/>
      </left>
      <right style="thick">
        <color rgb="FF6610F2"/>
      </right>
      <bottom style="medium">
        <color rgb="FFDEE2E6"/>
      </bottom>
    </border>
    <border>
      <right style="thick">
        <color rgb="FF6610F2"/>
      </right>
    </border>
    <border>
      <left/>
      <right style="thick">
        <color rgb="FF6610F2"/>
      </right>
      <top/>
      <bottom/>
    </border>
    <border>
      <left/>
      <right/>
      <top/>
      <bottom style="thick">
        <color rgb="FF6610F2"/>
      </bottom>
    </border>
    <border>
      <bottom style="thick">
        <color rgb="FF6610F2"/>
      </bottom>
    </border>
    <border>
      <right style="thick">
        <color rgb="FF00FF00"/>
      </right>
      <top style="thick">
        <color rgb="FF00FF00"/>
      </top>
    </border>
    <border>
      <left style="thick">
        <color rgb="FF00FF00"/>
      </left>
    </border>
    <border>
      <right style="thick">
        <color rgb="FF00FF00"/>
      </right>
    </border>
    <border>
      <right style="thick">
        <color rgb="FF00FF00"/>
      </right>
      <bottom style="thin">
        <color rgb="FF006600"/>
      </bottom>
    </border>
    <border>
      <right style="thick">
        <color rgb="FF00FF00"/>
      </right>
      <bottom style="thick">
        <color rgb="FF00FF00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0" fillId="0" fontId="4" numFmtId="49" xfId="0" applyFont="1" applyNumberFormat="1"/>
    <xf borderId="1" fillId="2" fontId="5" numFmtId="0" xfId="0" applyAlignment="1" applyBorder="1" applyFont="1">
      <alignment horizontal="left" shrinkToFit="0" vertical="center" wrapText="1"/>
    </xf>
    <xf borderId="0" fillId="0" fontId="6" numFmtId="0" xfId="0" applyFont="1"/>
    <xf borderId="4" fillId="3" fontId="7" numFmtId="0" xfId="0" applyAlignment="1" applyBorder="1" applyFill="1" applyFont="1">
      <alignment vertical="top"/>
    </xf>
    <xf borderId="5" fillId="0" fontId="2" numFmtId="0" xfId="0" applyBorder="1" applyFont="1"/>
    <xf borderId="6" fillId="4" fontId="7" numFmtId="49" xfId="0" applyAlignment="1" applyBorder="1" applyFill="1" applyFont="1" applyNumberFormat="1">
      <alignment vertical="top"/>
    </xf>
    <xf borderId="1" fillId="4" fontId="8" numFmtId="49" xfId="0" applyAlignment="1" applyBorder="1" applyFont="1" applyNumberFormat="1">
      <alignment horizontal="center" vertical="top"/>
    </xf>
    <xf borderId="0" fillId="0" fontId="6" numFmtId="49" xfId="0" applyFont="1" applyNumberFormat="1"/>
    <xf borderId="7" fillId="4" fontId="9" numFmtId="49" xfId="0" applyAlignment="1" applyBorder="1" applyFont="1" applyNumberFormat="1">
      <alignment horizontal="center" vertical="top"/>
    </xf>
    <xf borderId="8" fillId="0" fontId="2" numFmtId="0" xfId="0" applyBorder="1" applyFont="1"/>
    <xf borderId="9" fillId="0" fontId="2" numFmtId="0" xfId="0" applyBorder="1" applyFont="1"/>
    <xf borderId="10" fillId="5" fontId="1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0" fillId="6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2" fillId="5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5" fontId="1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3" fontId="7" numFmtId="0" xfId="0" applyAlignment="1" applyBorder="1" applyFont="1">
      <alignment vertical="top"/>
    </xf>
    <xf borderId="19" fillId="0" fontId="2" numFmtId="0" xfId="0" applyBorder="1" applyFont="1"/>
    <xf borderId="20" fillId="0" fontId="2" numFmtId="0" xfId="0" applyBorder="1" applyFont="1"/>
    <xf borderId="15" fillId="6" fontId="1" numFmtId="49" xfId="0" applyAlignment="1" applyBorder="1" applyFont="1" applyNumberFormat="1">
      <alignment horizontal="center" shrinkToFit="0" vertical="center" wrapText="1"/>
    </xf>
    <xf borderId="18" fillId="5" fontId="1" numFmtId="0" xfId="0" applyAlignment="1" applyBorder="1" applyFont="1">
      <alignment horizontal="center" shrinkToFit="0" vertical="center" wrapText="1"/>
    </xf>
    <xf borderId="18" fillId="6" fontId="1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6" fillId="6" fontId="1" numFmtId="0" xfId="0" applyAlignment="1" applyBorder="1" applyFont="1">
      <alignment horizontal="center" shrinkToFit="0" vertical="center" wrapText="1"/>
    </xf>
    <xf borderId="24" fillId="7" fontId="1" numFmtId="0" xfId="0" applyAlignment="1" applyBorder="1" applyFill="1" applyFont="1">
      <alignment horizontal="center" vertical="center"/>
    </xf>
    <xf borderId="6" fillId="8" fontId="10" numFmtId="0" xfId="0" applyAlignment="1" applyBorder="1" applyFill="1" applyFont="1">
      <alignment horizontal="center" vertical="center"/>
    </xf>
    <xf borderId="24" fillId="7" fontId="11" numFmtId="0" xfId="0" applyAlignment="1" applyBorder="1" applyFont="1">
      <alignment horizontal="left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1" fillId="7" fontId="11" numFmtId="49" xfId="0" applyAlignment="1" applyBorder="1" applyFont="1" applyNumberFormat="1">
      <alignment horizontal="left" shrinkToFit="0" vertical="center" wrapText="1"/>
    </xf>
    <xf borderId="1" fillId="7" fontId="11" numFmtId="0" xfId="0" applyAlignment="1" applyBorder="1" applyFont="1">
      <alignment horizontal="left" shrinkToFit="0" vertical="center" wrapText="1"/>
    </xf>
    <xf borderId="1" fillId="7" fontId="12" numFmtId="49" xfId="0" applyAlignment="1" applyBorder="1" applyFont="1" applyNumberFormat="1">
      <alignment horizontal="left" shrinkToFit="0" vertical="center" wrapText="1"/>
    </xf>
    <xf borderId="24" fillId="3" fontId="13" numFmtId="0" xfId="0" applyAlignment="1" applyBorder="1" applyFont="1">
      <alignment horizontal="center" vertical="top"/>
    </xf>
    <xf borderId="24" fillId="7" fontId="11" numFmtId="49" xfId="0" applyAlignment="1" applyBorder="1" applyFont="1" applyNumberFormat="1">
      <alignment horizontal="left" shrinkToFit="0" vertical="center" wrapText="1"/>
    </xf>
    <xf borderId="24" fillId="4" fontId="13" numFmtId="0" xfId="0" applyAlignment="1" applyBorder="1" applyFont="1">
      <alignment horizontal="center" vertical="top"/>
    </xf>
    <xf borderId="0" fillId="0" fontId="7" numFmtId="0" xfId="0" applyFont="1"/>
    <xf borderId="16" fillId="7" fontId="13" numFmtId="0" xfId="0" applyAlignment="1" applyBorder="1" applyFont="1">
      <alignment horizontal="left" vertical="center"/>
    </xf>
    <xf borderId="1" fillId="6" fontId="13" numFmtId="0" xfId="0" applyAlignment="1" applyBorder="1" applyFont="1">
      <alignment horizontal="left" vertical="center"/>
    </xf>
    <xf borderId="15" fillId="7" fontId="13" numFmtId="0" xfId="0" applyAlignment="1" applyBorder="1" applyFont="1">
      <alignment horizontal="center" vertical="center"/>
    </xf>
    <xf borderId="15" fillId="6" fontId="14" numFmtId="0" xfId="0" applyAlignment="1" applyBorder="1" applyFont="1">
      <alignment horizontal="left" shrinkToFit="0" vertical="center" wrapText="1"/>
    </xf>
    <xf borderId="15" fillId="7" fontId="15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left" shrinkToFit="0" vertical="center" wrapText="1"/>
    </xf>
    <xf borderId="24" fillId="2" fontId="16" numFmtId="0" xfId="0" applyAlignment="1" applyBorder="1" applyFont="1">
      <alignment horizontal="left" shrinkToFit="0" vertical="center" wrapText="1"/>
    </xf>
    <xf borderId="1" fillId="7" fontId="14" numFmtId="0" xfId="0" applyAlignment="1" applyBorder="1" applyFont="1">
      <alignment horizontal="left" shrinkToFit="0" vertical="center" wrapText="1"/>
    </xf>
    <xf borderId="24" fillId="2" fontId="17" numFmtId="0" xfId="0" applyAlignment="1" applyBorder="1" applyFont="1">
      <alignment horizontal="left" shrinkToFit="0" vertical="center" wrapText="1"/>
    </xf>
    <xf borderId="6" fillId="2" fontId="17" numFmtId="0" xfId="0" applyAlignment="1" applyBorder="1" applyFont="1">
      <alignment horizontal="left" shrinkToFit="0" vertical="center" wrapText="1"/>
    </xf>
    <xf borderId="24" fillId="6" fontId="18" numFmtId="0" xfId="0" applyAlignment="1" applyBorder="1" applyFont="1">
      <alignment horizontal="left" shrinkToFit="0" vertical="center" wrapText="1"/>
    </xf>
    <xf borderId="4" fillId="2" fontId="17" numFmtId="0" xfId="0" applyAlignment="1" applyBorder="1" applyFont="1">
      <alignment horizontal="left" shrinkToFit="0" vertical="center" wrapText="1"/>
    </xf>
    <xf borderId="29" fillId="0" fontId="2" numFmtId="0" xfId="0" applyBorder="1" applyFont="1"/>
    <xf borderId="24" fillId="9" fontId="14" numFmtId="0" xfId="0" applyAlignment="1" applyBorder="1" applyFill="1" applyFont="1">
      <alignment horizontal="left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24" fillId="7" fontId="19" numFmtId="0" xfId="0" applyAlignment="1" applyBorder="1" applyFont="1">
      <alignment horizontal="left" vertical="top"/>
    </xf>
    <xf borderId="1" fillId="7" fontId="19" numFmtId="0" xfId="0" applyAlignment="1" applyBorder="1" applyFont="1">
      <alignment vertical="center"/>
    </xf>
    <xf borderId="24" fillId="3" fontId="20" numFmtId="0" xfId="0" applyAlignment="1" applyBorder="1" applyFont="1">
      <alignment horizontal="left" vertical="top"/>
    </xf>
    <xf borderId="1" fillId="3" fontId="20" numFmtId="0" xfId="0" applyAlignment="1" applyBorder="1" applyFont="1">
      <alignment vertical="center"/>
    </xf>
    <xf borderId="24" fillId="7" fontId="20" numFmtId="0" xfId="0" applyAlignment="1" applyBorder="1" applyFont="1">
      <alignment horizontal="left" vertical="top"/>
    </xf>
    <xf borderId="24" fillId="7" fontId="20" numFmtId="0" xfId="0" applyAlignment="1" applyBorder="1" applyFont="1">
      <alignment vertical="top"/>
    </xf>
    <xf borderId="1" fillId="7" fontId="20" numFmtId="0" xfId="0" applyAlignment="1" applyBorder="1" applyFont="1">
      <alignment vertical="top"/>
    </xf>
    <xf borderId="6" fillId="3" fontId="21" numFmtId="0" xfId="0" applyAlignment="1" applyBorder="1" applyFont="1">
      <alignment vertical="top"/>
    </xf>
    <xf borderId="24" fillId="3" fontId="19" numFmtId="0" xfId="0" applyAlignment="1" applyBorder="1" applyFont="1">
      <alignment horizontal="left" vertical="top"/>
    </xf>
    <xf borderId="1" fillId="7" fontId="20" numFmtId="0" xfId="0" applyAlignment="1" applyBorder="1" applyFont="1">
      <alignment horizontal="left" vertical="top"/>
    </xf>
    <xf borderId="1" fillId="9" fontId="14" numFmtId="0" xfId="0" applyAlignment="1" applyBorder="1" applyFont="1">
      <alignment horizontal="left" shrinkToFit="0" vertical="center" wrapText="1"/>
    </xf>
    <xf borderId="1" fillId="6" fontId="18" numFmtId="0" xfId="0" applyAlignment="1" applyBorder="1" applyFont="1">
      <alignment horizontal="left" vertical="top"/>
    </xf>
    <xf borderId="24" fillId="6" fontId="18" numFmtId="0" xfId="0" applyAlignment="1" applyBorder="1" applyFont="1">
      <alignment horizontal="left" vertical="top"/>
    </xf>
    <xf borderId="24" fillId="7" fontId="22" numFmtId="0" xfId="0" applyAlignment="1" applyBorder="1" applyFont="1">
      <alignment vertical="center"/>
    </xf>
    <xf borderId="1" fillId="7" fontId="11" numFmtId="0" xfId="0" applyAlignment="1" applyBorder="1" applyFont="1">
      <alignment vertical="center"/>
    </xf>
    <xf borderId="1" fillId="6" fontId="18" numFmtId="0" xfId="0" applyAlignment="1" applyBorder="1" applyFont="1">
      <alignment horizontal="left" shrinkToFit="0" vertical="center" wrapText="1"/>
    </xf>
    <xf borderId="1" fillId="7" fontId="11" numFmtId="0" xfId="0" applyAlignment="1" applyBorder="1" applyFont="1">
      <alignment horizontal="left" vertical="top"/>
    </xf>
    <xf borderId="24" fillId="3" fontId="11" numFmtId="0" xfId="0" applyAlignment="1" applyBorder="1" applyFont="1">
      <alignment horizontal="left" vertical="top"/>
    </xf>
    <xf borderId="24" fillId="7" fontId="11" numFmtId="0" xfId="0" applyAlignment="1" applyBorder="1" applyFont="1">
      <alignment horizontal="left" vertical="top"/>
    </xf>
    <xf borderId="1" fillId="3" fontId="11" numFmtId="0" xfId="0" applyAlignment="1" applyBorder="1" applyFont="1">
      <alignment vertical="center"/>
    </xf>
    <xf borderId="24" fillId="7" fontId="14" numFmtId="0" xfId="0" applyAlignment="1" applyBorder="1" applyFont="1">
      <alignment vertical="center"/>
    </xf>
    <xf borderId="1" fillId="7" fontId="21" numFmtId="0" xfId="0" applyAlignment="1" applyBorder="1" applyFont="1">
      <alignment vertical="top"/>
    </xf>
    <xf borderId="24" fillId="7" fontId="23" numFmtId="0" xfId="0" applyAlignment="1" applyBorder="1" applyFont="1">
      <alignment horizontal="left" vertical="top"/>
    </xf>
    <xf borderId="1" fillId="7" fontId="11" numFmtId="49" xfId="0" applyAlignment="1" applyBorder="1" applyFont="1" applyNumberFormat="1">
      <alignment vertical="center"/>
    </xf>
    <xf borderId="1" fillId="3" fontId="11" numFmtId="0" xfId="0" applyAlignment="1" applyBorder="1" applyFont="1">
      <alignment horizontal="left" vertical="top"/>
    </xf>
    <xf borderId="24" fillId="3" fontId="14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left" vertical="center"/>
    </xf>
    <xf borderId="24" fillId="7" fontId="14" numFmtId="0" xfId="0" applyAlignment="1" applyBorder="1" applyFont="1">
      <alignment horizontal="left" vertical="top"/>
    </xf>
    <xf borderId="1" fillId="7" fontId="11" numFmtId="0" xfId="0" applyAlignment="1" applyBorder="1" applyFont="1">
      <alignment horizontal="left" vertical="center"/>
    </xf>
    <xf borderId="30" fillId="0" fontId="24" numFmtId="0" xfId="0" applyAlignment="1" applyBorder="1" applyFont="1">
      <alignment horizontal="left" vertical="top"/>
    </xf>
    <xf borderId="30" fillId="0" fontId="6" numFmtId="0" xfId="0" applyAlignment="1" applyBorder="1" applyFont="1">
      <alignment horizontal="left" vertical="top"/>
    </xf>
    <xf borderId="30" fillId="6" fontId="18" numFmtId="0" xfId="0" applyAlignment="1" applyBorder="1" applyFont="1">
      <alignment horizontal="left" vertical="top"/>
    </xf>
    <xf borderId="31" fillId="0" fontId="6" numFmtId="0" xfId="0" applyAlignment="1" applyBorder="1" applyFont="1">
      <alignment horizontal="left" vertical="top"/>
    </xf>
    <xf borderId="32" fillId="0" fontId="2" numFmtId="0" xfId="0" applyBorder="1" applyFont="1"/>
    <xf borderId="0" fillId="0" fontId="25" numFmtId="0" xfId="0" applyAlignment="1" applyFont="1">
      <alignment vertical="top"/>
    </xf>
    <xf borderId="31" fillId="0" fontId="2" numFmtId="0" xfId="0" applyBorder="1" applyFont="1"/>
    <xf borderId="33" fillId="0" fontId="2" numFmtId="0" xfId="0" applyBorder="1" applyFont="1"/>
    <xf borderId="34" fillId="0" fontId="6" numFmtId="0" xfId="0" applyAlignment="1" applyBorder="1" applyFont="1">
      <alignment horizontal="left" vertical="top"/>
    </xf>
    <xf borderId="35" fillId="10" fontId="26" numFmtId="0" xfId="0" applyAlignment="1" applyBorder="1" applyFill="1" applyFont="1">
      <alignment horizontal="left" vertical="center"/>
    </xf>
    <xf borderId="36" fillId="0" fontId="7" numFmtId="0" xfId="0" applyBorder="1" applyFont="1"/>
    <xf borderId="37" fillId="10" fontId="12" numFmtId="0" xfId="0" applyAlignment="1" applyBorder="1" applyFont="1">
      <alignment horizontal="left" vertical="top"/>
    </xf>
    <xf borderId="38" fillId="0" fontId="6" numFmtId="0" xfId="0" applyAlignment="1" applyBorder="1" applyFont="1">
      <alignment horizontal="center" vertical="top"/>
    </xf>
    <xf borderId="39" fillId="10" fontId="12" numFmtId="0" xfId="0" applyAlignment="1" applyBorder="1" applyFont="1">
      <alignment horizontal="left" vertical="top"/>
    </xf>
    <xf borderId="40" fillId="0" fontId="6" numFmtId="0" xfId="0" applyAlignment="1" applyBorder="1" applyFont="1">
      <alignment horizontal="center" vertical="top"/>
    </xf>
    <xf borderId="41" fillId="0" fontId="3" numFmtId="49" xfId="0" applyAlignment="1" applyBorder="1" applyFont="1" applyNumberFormat="1">
      <alignment vertical="center"/>
    </xf>
    <xf borderId="0" fillId="0" fontId="27" numFmtId="0" xfId="0" applyAlignment="1" applyFont="1">
      <alignment vertical="top"/>
    </xf>
    <xf borderId="42" fillId="11" fontId="28" numFmtId="0" xfId="0" applyAlignment="1" applyBorder="1" applyFill="1" applyFont="1">
      <alignment horizontal="center" vertical="center"/>
    </xf>
    <xf borderId="6" fillId="7" fontId="6" numFmtId="0" xfId="0" applyAlignment="1" applyBorder="1" applyFont="1">
      <alignment horizontal="left" vertical="top"/>
    </xf>
    <xf borderId="43" fillId="3" fontId="29" numFmtId="0" xfId="0" applyAlignment="1" applyBorder="1" applyFont="1">
      <alignment vertical="center"/>
    </xf>
    <xf borderId="6" fillId="10" fontId="12" numFmtId="0" xfId="0" applyAlignment="1" applyBorder="1" applyFont="1">
      <alignment horizontal="left" vertical="top"/>
    </xf>
    <xf borderId="0" fillId="0" fontId="6" numFmtId="164" xfId="0" applyAlignment="1" applyFont="1" applyNumberFormat="1">
      <alignment horizontal="center" vertical="top"/>
    </xf>
    <xf borderId="44" fillId="2" fontId="14" numFmtId="0" xfId="0" applyAlignment="1" applyBorder="1" applyFont="1">
      <alignment horizontal="center" shrinkToFit="0" vertical="center" wrapText="1"/>
    </xf>
    <xf borderId="24" fillId="12" fontId="29" numFmtId="0" xfId="0" applyAlignment="1" applyBorder="1" applyFill="1" applyFont="1">
      <alignment vertical="center"/>
    </xf>
    <xf borderId="24" fillId="12" fontId="3" numFmtId="49" xfId="0" applyBorder="1" applyFont="1" applyNumberFormat="1"/>
    <xf borderId="24" fillId="3" fontId="6" numFmtId="0" xfId="0" applyAlignment="1" applyBorder="1" applyFont="1">
      <alignment vertical="center"/>
    </xf>
    <xf borderId="24" fillId="13" fontId="30" numFmtId="0" xfId="0" applyAlignment="1" applyBorder="1" applyFill="1" applyFont="1">
      <alignment horizontal="center" vertical="center"/>
    </xf>
    <xf borderId="24" fillId="3" fontId="6" numFmtId="3" xfId="0" applyAlignment="1" applyBorder="1" applyFont="1" applyNumberFormat="1">
      <alignment vertical="center"/>
    </xf>
    <xf borderId="45" fillId="3" fontId="29" numFmtId="0" xfId="0" applyAlignment="1" applyBorder="1" applyFont="1">
      <alignment vertical="center"/>
    </xf>
    <xf borderId="45" fillId="0" fontId="3" numFmtId="49" xfId="0" applyBorder="1" applyFont="1" applyNumberFormat="1"/>
    <xf borderId="24" fillId="7" fontId="6" numFmtId="0" xfId="0" applyAlignment="1" applyBorder="1" applyFont="1">
      <alignment vertical="center"/>
    </xf>
    <xf borderId="24" fillId="14" fontId="30" numFmtId="0" xfId="0" applyAlignment="1" applyBorder="1" applyFill="1" applyFont="1">
      <alignment horizontal="center" vertical="center"/>
    </xf>
    <xf borderId="24" fillId="7" fontId="6" numFmtId="3" xfId="0" applyAlignment="1" applyBorder="1" applyFont="1" applyNumberFormat="1">
      <alignment vertical="center"/>
    </xf>
    <xf borderId="46" fillId="7" fontId="31" numFmtId="0" xfId="0" applyAlignment="1" applyBorder="1" applyFont="1">
      <alignment vertical="center"/>
    </xf>
    <xf borderId="47" fillId="7" fontId="31" numFmtId="0" xfId="0" applyAlignment="1" applyBorder="1" applyFont="1">
      <alignment vertical="center"/>
    </xf>
    <xf borderId="24" fillId="15" fontId="30" numFmtId="0" xfId="0" applyAlignment="1" applyBorder="1" applyFill="1" applyFont="1">
      <alignment horizontal="center" vertical="center"/>
    </xf>
    <xf borderId="48" fillId="7" fontId="31" numFmtId="0" xfId="0" applyAlignment="1" applyBorder="1" applyFont="1">
      <alignment vertical="center"/>
    </xf>
    <xf borderId="49" fillId="16" fontId="32" numFmtId="0" xfId="0" applyAlignment="1" applyBorder="1" applyFill="1" applyFont="1">
      <alignment vertical="center"/>
    </xf>
    <xf borderId="0" fillId="0" fontId="3" numFmtId="49" xfId="0" applyAlignment="1" applyFont="1" applyNumberFormat="1">
      <alignment vertical="center"/>
    </xf>
    <xf borderId="24" fillId="3" fontId="11" numFmtId="0" xfId="0" applyAlignment="1" applyBorder="1" applyFont="1">
      <alignment horizontal="left" shrinkToFit="0" vertical="center" wrapText="1"/>
    </xf>
    <xf borderId="50" fillId="7" fontId="33" numFmtId="0" xfId="0" applyAlignment="1" applyBorder="1" applyFont="1">
      <alignment horizontal="left" readingOrder="0" shrinkToFit="0" vertical="center" wrapText="1"/>
    </xf>
    <xf borderId="51" fillId="0" fontId="2" numFmtId="0" xfId="0" applyBorder="1" applyFont="1"/>
    <xf borderId="50" fillId="3" fontId="13" numFmtId="0" xfId="0" applyAlignment="1" applyBorder="1" applyFont="1">
      <alignment horizontal="left" shrinkToFit="0" vertical="center" wrapText="1"/>
    </xf>
    <xf borderId="50" fillId="7" fontId="13" numFmtId="0" xfId="0" applyAlignment="1" applyBorder="1" applyFont="1">
      <alignment horizontal="left" shrinkToFit="0" vertical="center" wrapText="1"/>
    </xf>
    <xf borderId="52" fillId="0" fontId="13" numFmtId="0" xfId="0" applyAlignment="1" applyBorder="1" applyFont="1">
      <alignment horizontal="left" shrinkToFit="0" vertical="center" wrapText="1"/>
    </xf>
    <xf borderId="36" fillId="0" fontId="2" numFmtId="0" xfId="0" applyBorder="1" applyFont="1"/>
    <xf borderId="53" fillId="3" fontId="34" numFmtId="0" xfId="0" applyAlignment="1" applyBorder="1" applyFont="1">
      <alignment horizontal="left" shrinkToFit="0" vertical="center" wrapText="1"/>
    </xf>
    <xf borderId="54" fillId="0" fontId="2" numFmtId="0" xfId="0" applyBorder="1" applyFont="1"/>
    <xf borderId="0" fillId="0" fontId="35" numFmtId="0" xfId="0" applyAlignment="1" applyFont="1">
      <alignment horizontal="left" vertical="center"/>
    </xf>
    <xf borderId="6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4" fillId="17" fontId="36" numFmtId="0" xfId="0" applyAlignment="1" applyBorder="1" applyFill="1" applyFont="1">
      <alignment horizontal="left" vertical="center"/>
    </xf>
    <xf borderId="18" fillId="9" fontId="1" numFmtId="0" xfId="0" applyAlignment="1" applyBorder="1" applyFont="1">
      <alignment horizontal="left" shrinkToFit="0" vertical="center" wrapText="1"/>
    </xf>
    <xf borderId="55" fillId="0" fontId="2" numFmtId="0" xfId="0" applyBorder="1" applyFont="1"/>
    <xf borderId="56" fillId="0" fontId="2" numFmtId="0" xfId="0" applyBorder="1" applyFont="1"/>
    <xf borderId="57" fillId="0" fontId="2" numFmtId="0" xfId="0" applyBorder="1" applyFont="1"/>
    <xf borderId="58" fillId="0" fontId="2" numFmtId="0" xfId="0" applyBorder="1" applyFont="1"/>
    <xf borderId="44" fillId="17" fontId="14" numFmtId="0" xfId="0" applyAlignment="1" applyBorder="1" applyFont="1">
      <alignment horizontal="center" shrinkToFit="0" vertical="center" wrapText="1"/>
    </xf>
    <xf borderId="24" fillId="3" fontId="11" numFmtId="0" xfId="0" applyAlignment="1" applyBorder="1" applyFont="1">
      <alignment horizontal="center" shrinkToFit="0" vertical="center" wrapText="1"/>
    </xf>
    <xf borderId="24" fillId="17" fontId="22" numFmtId="0" xfId="0" applyAlignment="1" applyBorder="1" applyFont="1">
      <alignment horizontal="center" shrinkToFit="0" vertical="center" wrapText="1"/>
    </xf>
    <xf borderId="4" fillId="9" fontId="14" numFmtId="0" xfId="0" applyAlignment="1" applyBorder="1" applyFont="1">
      <alignment horizontal="left" vertical="center"/>
    </xf>
    <xf borderId="59" fillId="11" fontId="37" numFmtId="0" xfId="0" applyAlignment="1" applyBorder="1" applyFont="1">
      <alignment horizontal="left" vertical="top"/>
    </xf>
    <xf borderId="60" fillId="11" fontId="37" numFmtId="0" xfId="0" applyAlignment="1" applyBorder="1" applyFont="1">
      <alignment horizontal="left" vertical="top"/>
    </xf>
    <xf borderId="61" fillId="7" fontId="38" numFmtId="0" xfId="0" applyAlignment="1" applyBorder="1" applyFont="1">
      <alignment horizontal="center" vertical="center"/>
    </xf>
    <xf borderId="62" fillId="7" fontId="38" numFmtId="0" xfId="0" applyAlignment="1" applyBorder="1" applyFont="1">
      <alignment horizontal="center" vertical="center"/>
    </xf>
    <xf borderId="0" fillId="0" fontId="39" numFmtId="0" xfId="0" applyAlignment="1" applyFont="1">
      <alignment vertical="top"/>
    </xf>
    <xf borderId="63" fillId="18" fontId="40" numFmtId="0" xfId="0" applyAlignment="1" applyBorder="1" applyFill="1" applyFont="1">
      <alignment horizontal="right" vertical="center"/>
    </xf>
    <xf borderId="64" fillId="11" fontId="40" numFmtId="0" xfId="0" applyAlignment="1" applyBorder="1" applyFont="1">
      <alignment horizontal="center" vertical="center"/>
    </xf>
    <xf borderId="65" fillId="11" fontId="40" numFmtId="0" xfId="0" applyAlignment="1" applyBorder="1" applyFont="1">
      <alignment horizontal="right" vertical="center"/>
    </xf>
    <xf borderId="63" fillId="11" fontId="40" numFmtId="0" xfId="0" applyAlignment="1" applyBorder="1" applyFont="1">
      <alignment horizontal="center" vertical="center"/>
    </xf>
    <xf borderId="66" fillId="11" fontId="40" numFmtId="0" xfId="0" applyAlignment="1" applyBorder="1" applyFont="1">
      <alignment horizontal="center" vertical="center"/>
    </xf>
    <xf borderId="67" fillId="19" fontId="41" numFmtId="49" xfId="0" applyAlignment="1" applyBorder="1" applyFill="1" applyFont="1" applyNumberFormat="1">
      <alignment horizontal="center" vertical="center"/>
    </xf>
    <xf borderId="68" fillId="10" fontId="1" numFmtId="0" xfId="0" applyAlignment="1" applyBorder="1" applyFont="1">
      <alignment vertical="top"/>
    </xf>
    <xf borderId="68" fillId="3" fontId="13" numFmtId="164" xfId="0" applyAlignment="1" applyBorder="1" applyFont="1" applyNumberFormat="1">
      <alignment vertical="top"/>
    </xf>
    <xf borderId="69" fillId="3" fontId="42" numFmtId="0" xfId="0" applyAlignment="1" applyBorder="1" applyFont="1">
      <alignment horizontal="right" vertical="center"/>
    </xf>
    <xf borderId="70" fillId="7" fontId="42" numFmtId="0" xfId="0" applyAlignment="1" applyBorder="1" applyFont="1">
      <alignment horizontal="center" vertical="center"/>
    </xf>
    <xf borderId="71" fillId="7" fontId="42" numFmtId="0" xfId="0" applyAlignment="1" applyBorder="1" applyFont="1">
      <alignment horizontal="right" vertical="center"/>
    </xf>
    <xf borderId="6" fillId="7" fontId="42" numFmtId="0" xfId="0" applyAlignment="1" applyBorder="1" applyFont="1">
      <alignment horizontal="center" vertical="center"/>
    </xf>
    <xf borderId="72" fillId="7" fontId="42" numFmtId="0" xfId="0" applyAlignment="1" applyBorder="1" applyFont="1">
      <alignment horizontal="center" vertical="center"/>
    </xf>
    <xf borderId="73" fillId="3" fontId="29" numFmtId="49" xfId="0" applyAlignment="1" applyBorder="1" applyFont="1" applyNumberFormat="1">
      <alignment vertical="top"/>
    </xf>
    <xf borderId="73" fillId="20" fontId="29" numFmtId="49" xfId="0" applyAlignment="1" applyBorder="1" applyFill="1" applyFont="1" applyNumberFormat="1">
      <alignment vertical="top"/>
    </xf>
    <xf borderId="74" fillId="7" fontId="43" numFmtId="0" xfId="0" applyAlignment="1" applyBorder="1" applyFont="1">
      <alignment vertical="top"/>
    </xf>
    <xf borderId="75" fillId="7" fontId="43" numFmtId="49" xfId="0" applyAlignment="1" applyBorder="1" applyFont="1" applyNumberFormat="1">
      <alignment vertical="top"/>
    </xf>
    <xf borderId="0" fillId="0" fontId="6" numFmtId="165" xfId="0" applyFont="1" applyNumberFormat="1"/>
    <xf borderId="69" fillId="3" fontId="42" numFmtId="165" xfId="0" applyAlignment="1" applyBorder="1" applyFont="1" applyNumberFormat="1">
      <alignment horizontal="right" vertical="center"/>
    </xf>
    <xf borderId="76" fillId="5" fontId="44" numFmtId="0" xfId="0" applyAlignment="1" applyBorder="1" applyFont="1">
      <alignment horizontal="left" shrinkToFit="0" vertical="center" wrapText="1"/>
    </xf>
    <xf borderId="77" fillId="0" fontId="2" numFmtId="0" xfId="0" applyBorder="1" applyFont="1"/>
    <xf borderId="78" fillId="0" fontId="2" numFmtId="0" xfId="0" applyBorder="1" applyFont="1"/>
    <xf borderId="79" fillId="7" fontId="42" numFmtId="0" xfId="0" applyAlignment="1" applyBorder="1" applyFont="1">
      <alignment horizontal="center" vertical="center"/>
    </xf>
    <xf borderId="80" fillId="7" fontId="42" numFmtId="0" xfId="0" applyAlignment="1" applyBorder="1" applyFont="1">
      <alignment horizontal="right" vertical="center"/>
    </xf>
    <xf borderId="81" fillId="7" fontId="42" numFmtId="0" xfId="0" applyAlignment="1" applyBorder="1" applyFont="1">
      <alignment horizontal="center" vertical="center"/>
    </xf>
    <xf borderId="43" fillId="7" fontId="42" numFmtId="0" xfId="0" applyAlignment="1" applyBorder="1" applyFont="1">
      <alignment horizontal="center" vertical="center"/>
    </xf>
    <xf borderId="24" fillId="6" fontId="12" numFmtId="3" xfId="0" applyAlignment="1" applyBorder="1" applyFont="1" applyNumberFormat="1">
      <alignment horizontal="right" vertical="center"/>
    </xf>
    <xf borderId="0" fillId="0" fontId="6" numFmtId="164" xfId="0" applyFont="1" applyNumberFormat="1"/>
    <xf borderId="0" fillId="0" fontId="6" numFmtId="3" xfId="0" applyFont="1" applyNumberFormat="1"/>
    <xf borderId="24" fillId="17" fontId="12" numFmtId="3" xfId="0" applyAlignment="1" applyBorder="1" applyFont="1" applyNumberFormat="1">
      <alignment horizontal="right" vertical="center"/>
    </xf>
    <xf borderId="24" fillId="3" fontId="11" numFmtId="3" xfId="0" applyAlignment="1" applyBorder="1" applyFont="1" applyNumberForma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82" fillId="9" fontId="45" numFmtId="0" xfId="0" applyAlignment="1" applyBorder="1" applyFont="1">
      <alignment horizontal="left" vertical="top"/>
    </xf>
    <xf borderId="83" fillId="0" fontId="2" numFmtId="0" xfId="0" applyBorder="1" applyFont="1"/>
    <xf borderId="84" fillId="0" fontId="2" numFmtId="0" xfId="0" applyBorder="1" applyFont="1"/>
    <xf borderId="45" fillId="7" fontId="13" numFmtId="0" xfId="0" applyAlignment="1" applyBorder="1" applyFont="1">
      <alignment horizontal="center" vertical="top"/>
    </xf>
    <xf borderId="24" fillId="9" fontId="13" numFmtId="0" xfId="0" applyAlignment="1" applyBorder="1" applyFont="1">
      <alignment horizontal="left" vertical="center"/>
    </xf>
    <xf borderId="24" fillId="3" fontId="46" numFmtId="0" xfId="0" applyAlignment="1" applyBorder="1" applyFont="1">
      <alignment horizontal="center" vertical="center"/>
    </xf>
    <xf borderId="24" fillId="21" fontId="47" numFmtId="0" xfId="0" applyAlignment="1" applyBorder="1" applyFill="1" applyFont="1">
      <alignment horizontal="center" vertical="center"/>
    </xf>
    <xf borderId="24" fillId="3" fontId="48" numFmtId="0" xfId="0" applyAlignment="1" applyBorder="1" applyFont="1">
      <alignment horizontal="center" vertical="center"/>
    </xf>
    <xf borderId="24" fillId="21" fontId="46" numFmtId="0" xfId="0" applyAlignment="1" applyBorder="1" applyFont="1">
      <alignment horizontal="center" vertical="center"/>
    </xf>
    <xf borderId="24" fillId="3" fontId="49" numFmtId="0" xfId="0" applyAlignment="1" applyBorder="1" applyFont="1">
      <alignment horizontal="center" vertical="center"/>
    </xf>
    <xf borderId="85" fillId="7" fontId="50" numFmtId="0" xfId="0" applyAlignment="1" applyBorder="1" applyFont="1">
      <alignment vertical="center"/>
    </xf>
    <xf borderId="6" fillId="7" fontId="50" numFmtId="0" xfId="0" applyAlignment="1" applyBorder="1" applyFont="1">
      <alignment vertical="center"/>
    </xf>
    <xf borderId="86" fillId="7" fontId="50" numFmtId="0" xfId="0" applyAlignment="1" applyBorder="1" applyFont="1">
      <alignment vertical="center"/>
    </xf>
    <xf borderId="69" fillId="3" fontId="50" numFmtId="0" xfId="0" applyAlignment="1" applyBorder="1" applyFont="1">
      <alignment horizontal="right" vertical="center"/>
    </xf>
    <xf borderId="82" fillId="7" fontId="51" numFmtId="0" xfId="0" applyAlignment="1" applyBorder="1" applyFont="1">
      <alignment horizontal="left" vertical="top"/>
    </xf>
    <xf borderId="87" fillId="7" fontId="6" numFmtId="0" xfId="0" applyAlignment="1" applyBorder="1" applyFont="1">
      <alignment horizontal="left" vertical="center"/>
    </xf>
    <xf borderId="88" fillId="0" fontId="2" numFmtId="0" xfId="0" applyBorder="1" applyFont="1"/>
    <xf borderId="89" fillId="0" fontId="2" numFmtId="0" xfId="0" applyBorder="1" applyFont="1"/>
    <xf borderId="87" fillId="2" fontId="1" numFmtId="0" xfId="0" applyAlignment="1" applyBorder="1" applyFont="1">
      <alignment horizontal="center" shrinkToFit="0" vertical="center" wrapText="1"/>
    </xf>
    <xf borderId="90" fillId="7" fontId="50" numFmtId="0" xfId="0" applyAlignment="1" applyBorder="1" applyFont="1">
      <alignment vertical="center"/>
    </xf>
    <xf borderId="81" fillId="7" fontId="50" numFmtId="0" xfId="0" applyAlignment="1" applyBorder="1" applyFont="1">
      <alignment vertical="center"/>
    </xf>
    <xf borderId="91" fillId="7" fontId="50" numFmtId="0" xfId="0" applyAlignment="1" applyBorder="1" applyFont="1">
      <alignment vertical="center"/>
    </xf>
    <xf borderId="82" fillId="5" fontId="6" numFmtId="0" xfId="0" applyAlignment="1" applyBorder="1" applyFont="1">
      <alignment horizontal="center" vertical="center"/>
    </xf>
    <xf borderId="92" fillId="5" fontId="6" numFmtId="0" xfId="0" applyAlignment="1" applyBorder="1" applyFont="1">
      <alignment horizontal="center" vertical="center"/>
    </xf>
    <xf borderId="93" fillId="0" fontId="2" numFmtId="0" xfId="0" applyBorder="1" applyFont="1"/>
    <xf borderId="94" fillId="0" fontId="2" numFmtId="0" xfId="0" applyBorder="1" applyFont="1"/>
    <xf borderId="85" fillId="7" fontId="42" numFmtId="0" xfId="0" applyAlignment="1" applyBorder="1" applyFont="1">
      <alignment vertical="center"/>
    </xf>
    <xf borderId="6" fillId="7" fontId="42" numFmtId="0" xfId="0" applyAlignment="1" applyBorder="1" applyFont="1">
      <alignment vertical="center"/>
    </xf>
    <xf borderId="86" fillId="7" fontId="42" numFmtId="0" xfId="0" applyAlignment="1" applyBorder="1" applyFont="1">
      <alignment vertical="center"/>
    </xf>
    <xf borderId="90" fillId="7" fontId="42" numFmtId="0" xfId="0" applyAlignment="1" applyBorder="1" applyFont="1">
      <alignment vertical="center"/>
    </xf>
    <xf borderId="81" fillId="7" fontId="42" numFmtId="0" xfId="0" applyAlignment="1" applyBorder="1" applyFont="1">
      <alignment vertical="center"/>
    </xf>
    <xf borderId="91" fillId="7" fontId="42" numFmtId="0" xfId="0" applyAlignment="1" applyBorder="1" applyFont="1">
      <alignment vertical="center"/>
    </xf>
    <xf borderId="0" fillId="0" fontId="7" numFmtId="49" xfId="0" applyAlignment="1" applyFont="1" applyNumberFormat="1">
      <alignment vertical="top"/>
    </xf>
    <xf borderId="95" fillId="11" fontId="52" numFmtId="0" xfId="0" applyAlignment="1" applyBorder="1" applyFont="1">
      <alignment horizontal="center" vertical="center"/>
    </xf>
    <xf borderId="96" fillId="11" fontId="52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left" shrinkToFit="0" vertical="center" wrapText="1"/>
    </xf>
    <xf borderId="66" fillId="22" fontId="52" numFmtId="0" xfId="0" applyAlignment="1" applyBorder="1" applyFill="1" applyFont="1">
      <alignment horizontal="center" vertical="center"/>
    </xf>
    <xf borderId="69" fillId="3" fontId="50" numFmtId="0" xfId="0" applyAlignment="1" applyBorder="1" applyFont="1">
      <alignment vertical="center"/>
    </xf>
    <xf borderId="1" fillId="5" fontId="11" numFmtId="0" xfId="0" applyAlignment="1" applyBorder="1" applyFont="1">
      <alignment horizontal="left" shrinkToFit="0" vertical="center" wrapText="1"/>
    </xf>
    <xf borderId="1" fillId="5" fontId="12" numFmtId="49" xfId="0" applyAlignment="1" applyBorder="1" applyFont="1" applyNumberFormat="1">
      <alignment horizontal="left" shrinkToFit="0" vertical="center" wrapText="1"/>
    </xf>
    <xf borderId="76" fillId="5" fontId="12" numFmtId="0" xfId="0" applyAlignment="1" applyBorder="1" applyFont="1">
      <alignment horizontal="left" shrinkToFit="0" vertical="center" wrapText="1"/>
    </xf>
    <xf borderId="24" fillId="7" fontId="50" numFmtId="49" xfId="0" applyAlignment="1" applyBorder="1" applyFont="1" applyNumberFormat="1">
      <alignment horizontal="left" vertical="top"/>
    </xf>
    <xf borderId="24" fillId="12" fontId="4" numFmtId="49" xfId="0" applyBorder="1" applyFont="1" applyNumberFormat="1"/>
    <xf borderId="97" fillId="3" fontId="50" numFmtId="0" xfId="0" applyAlignment="1" applyBorder="1" applyFont="1">
      <alignment vertical="center"/>
    </xf>
    <xf borderId="45" fillId="0" fontId="4" numFmtId="49" xfId="0" applyBorder="1" applyFont="1" applyNumberFormat="1"/>
    <xf borderId="98" fillId="2" fontId="12" numFmtId="0" xfId="0" applyAlignment="1" applyBorder="1" applyFont="1">
      <alignment horizontal="center" shrinkToFit="0" vertical="center" wrapText="1"/>
    </xf>
    <xf borderId="99" fillId="23" fontId="53" numFmtId="0" xfId="0" applyAlignment="1" applyBorder="1" applyFill="1" applyFont="1">
      <alignment horizontal="center" vertical="center"/>
    </xf>
    <xf borderId="45" fillId="11" fontId="54" numFmtId="0" xfId="0" applyAlignment="1" applyBorder="1" applyFont="1">
      <alignment horizontal="center" vertical="center"/>
    </xf>
    <xf borderId="100" fillId="24" fontId="55" numFmtId="0" xfId="0" applyAlignment="1" applyBorder="1" applyFill="1" applyFont="1">
      <alignment horizontal="center" vertical="center"/>
    </xf>
    <xf borderId="100" fillId="24" fontId="55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00" fillId="24" fontId="30" numFmtId="0" xfId="0" applyAlignment="1" applyBorder="1" applyFont="1">
      <alignment horizontal="center" vertical="center"/>
    </xf>
    <xf borderId="45" fillId="0" fontId="4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56" numFmtId="49" xfId="0" applyAlignment="1" applyFont="1" applyNumberFormat="1">
      <alignment horizontal="center" vertical="center"/>
    </xf>
    <xf borderId="101" fillId="3" fontId="6" numFmtId="0" xfId="0" applyAlignment="1" applyBorder="1" applyFont="1">
      <alignment horizontal="center" vertical="center"/>
    </xf>
    <xf borderId="101" fillId="3" fontId="6" numFmtId="164" xfId="0" applyAlignment="1" applyBorder="1" applyFont="1" applyNumberFormat="1">
      <alignment horizontal="center" vertical="center"/>
    </xf>
    <xf borderId="102" fillId="3" fontId="57" numFmtId="0" xfId="0" applyAlignment="1" applyBorder="1" applyFont="1">
      <alignment horizontal="center" vertical="center"/>
    </xf>
    <xf borderId="101" fillId="3" fontId="6" numFmtId="49" xfId="0" applyAlignment="1" applyBorder="1" applyFont="1" applyNumberFormat="1">
      <alignment horizontal="center" vertical="center"/>
    </xf>
    <xf borderId="24" fillId="7" fontId="58" numFmtId="49" xfId="0" applyAlignment="1" applyBorder="1" applyFont="1" applyNumberFormat="1">
      <alignment horizontal="center" vertical="center"/>
    </xf>
    <xf borderId="24" fillId="3" fontId="58" numFmtId="49" xfId="0" applyAlignment="1" applyBorder="1" applyFont="1" applyNumberFormat="1">
      <alignment horizontal="center" vertical="center"/>
    </xf>
    <xf borderId="97" fillId="3" fontId="29" numFmtId="0" xfId="0" applyAlignment="1" applyBorder="1" applyFont="1">
      <alignment horizontal="center" vertical="center"/>
    </xf>
    <xf borderId="69" fillId="3" fontId="29" numFmtId="0" xfId="0" applyAlignment="1" applyBorder="1" applyFont="1">
      <alignment horizontal="center" vertical="center"/>
    </xf>
    <xf borderId="69" fillId="3" fontId="42" numFmtId="0" xfId="0" applyAlignment="1" applyBorder="1" applyFont="1">
      <alignment vertical="center"/>
    </xf>
    <xf borderId="0" fillId="0" fontId="7" numFmtId="0" xfId="0" applyAlignment="1" applyFont="1">
      <alignment vertical="top"/>
    </xf>
    <xf borderId="103" fillId="7" fontId="42" numFmtId="0" xfId="0" applyAlignment="1" applyBorder="1" applyFont="1">
      <alignment vertical="center"/>
    </xf>
    <xf borderId="104" fillId="7" fontId="42" numFmtId="0" xfId="0" applyAlignment="1" applyBorder="1" applyFont="1">
      <alignment vertical="center"/>
    </xf>
    <xf borderId="105" fillId="2" fontId="13" numFmtId="0" xfId="0" applyAlignment="1" applyBorder="1" applyFont="1">
      <alignment horizontal="center" vertical="center"/>
    </xf>
    <xf borderId="106" fillId="0" fontId="2" numFmtId="0" xfId="0" applyBorder="1" applyFont="1"/>
    <xf borderId="107" fillId="0" fontId="2" numFmtId="0" xfId="0" applyBorder="1" applyFont="1"/>
    <xf borderId="108" fillId="7" fontId="52" numFmtId="0" xfId="0" applyAlignment="1" applyBorder="1" applyFont="1">
      <alignment horizontal="center" vertical="center"/>
    </xf>
    <xf borderId="109" fillId="0" fontId="2" numFmtId="0" xfId="0" applyBorder="1" applyFont="1"/>
    <xf borderId="110" fillId="0" fontId="2" numFmtId="0" xfId="0" applyBorder="1" applyFont="1"/>
    <xf borderId="21" fillId="7" fontId="45" numFmtId="0" xfId="0" applyAlignment="1" applyBorder="1" applyFont="1">
      <alignment horizontal="left" vertical="top"/>
    </xf>
    <xf borderId="111" fillId="7" fontId="13" numFmtId="0" xfId="0" applyAlignment="1" applyBorder="1" applyFont="1">
      <alignment horizontal="left" vertical="center"/>
    </xf>
    <xf borderId="112" fillId="0" fontId="2" numFmtId="0" xfId="0" applyBorder="1" applyFont="1"/>
    <xf borderId="113" fillId="0" fontId="2" numFmtId="0" xfId="0" applyBorder="1" applyFont="1"/>
    <xf borderId="25" fillId="7" fontId="13" numFmtId="0" xfId="0" applyAlignment="1" applyBorder="1" applyFont="1">
      <alignment vertical="top"/>
    </xf>
    <xf borderId="1" fillId="9" fontId="11" numFmtId="0" xfId="0" applyAlignment="1" applyBorder="1" applyFont="1">
      <alignment horizontal="left" shrinkToFit="0" vertical="center" wrapText="1"/>
    </xf>
    <xf borderId="25" fillId="9" fontId="13" numFmtId="0" xfId="0" applyAlignment="1" applyBorder="1" applyFont="1">
      <alignment vertical="top"/>
    </xf>
    <xf borderId="24" fillId="2" fontId="16" numFmtId="49" xfId="0" applyAlignment="1" applyBorder="1" applyFont="1" applyNumberFormat="1">
      <alignment horizontal="left" shrinkToFit="0" vertical="center" wrapText="1"/>
    </xf>
    <xf borderId="114" fillId="2" fontId="50" numFmtId="49" xfId="0" applyAlignment="1" applyBorder="1" applyFont="1" applyNumberFormat="1">
      <alignment horizontal="left" vertical="top"/>
    </xf>
    <xf borderId="45" fillId="2" fontId="50" numFmtId="49" xfId="0" applyAlignment="1" applyBorder="1" applyFont="1" applyNumberFormat="1">
      <alignment horizontal="left" vertical="top"/>
    </xf>
    <xf borderId="24" fillId="7" fontId="14" numFmtId="49" xfId="0" applyAlignment="1" applyBorder="1" applyFont="1" applyNumberFormat="1">
      <alignment horizontal="left" shrinkToFit="0" vertical="center" wrapText="1"/>
    </xf>
    <xf borderId="24" fillId="5" fontId="1" numFmtId="49" xfId="0" applyAlignment="1" applyBorder="1" applyFont="1" applyNumberFormat="1">
      <alignment horizontal="left" shrinkToFit="0" vertical="center" wrapText="1"/>
    </xf>
    <xf borderId="45" fillId="7" fontId="50" numFmtId="49" xfId="0" applyAlignment="1" applyBorder="1" applyFont="1" applyNumberFormat="1">
      <alignment horizontal="left" vertical="top"/>
    </xf>
    <xf borderId="1" fillId="25" fontId="59" numFmtId="0" xfId="0" applyAlignment="1" applyBorder="1" applyFill="1" applyFont="1">
      <alignment horizontal="left" shrinkToFit="0" vertical="center" wrapText="1"/>
    </xf>
    <xf borderId="24" fillId="2" fontId="14" numFmtId="49" xfId="0" applyAlignment="1" applyBorder="1" applyFont="1" applyNumberFormat="1">
      <alignment horizontal="left" shrinkToFit="0" vertical="center" wrapText="1"/>
    </xf>
    <xf borderId="115" fillId="11" fontId="60" numFmtId="49" xfId="0" applyAlignment="1" applyBorder="1" applyFont="1" applyNumberFormat="1">
      <alignment horizontal="left" vertical="top"/>
    </xf>
    <xf borderId="116" fillId="26" fontId="50" numFmtId="49" xfId="0" applyAlignment="1" applyBorder="1" applyFill="1" applyFont="1" applyNumberFormat="1">
      <alignment horizontal="left" vertical="top"/>
    </xf>
    <xf borderId="115" fillId="7" fontId="20" numFmtId="49" xfId="0" applyAlignment="1" applyBorder="1" applyFont="1" applyNumberFormat="1">
      <alignment horizontal="left" vertical="top"/>
    </xf>
    <xf borderId="117" fillId="3" fontId="50" numFmtId="49" xfId="0" applyAlignment="1" applyBorder="1" applyFont="1" applyNumberFormat="1">
      <alignment horizontal="left" vertical="top"/>
    </xf>
    <xf borderId="4" fillId="2" fontId="1" numFmtId="0" xfId="0" applyAlignment="1" applyBorder="1" applyFont="1">
      <alignment horizontal="left" vertical="top"/>
    </xf>
    <xf borderId="115" fillId="3" fontId="50" numFmtId="49" xfId="0" applyAlignment="1" applyBorder="1" applyFont="1" applyNumberFormat="1">
      <alignment horizontal="left" vertical="top"/>
    </xf>
    <xf borderId="118" fillId="26" fontId="50" numFmtId="49" xfId="0" applyAlignment="1" applyBorder="1" applyFont="1" applyNumberFormat="1">
      <alignment horizontal="left" vertical="top"/>
    </xf>
    <xf borderId="1" fillId="2" fontId="14" numFmtId="0" xfId="0" applyAlignment="1" applyBorder="1" applyFont="1">
      <alignment horizontal="left" shrinkToFit="0" vertical="center" wrapText="1"/>
    </xf>
    <xf borderId="4" fillId="5" fontId="1" numFmtId="0" xfId="0" applyAlignment="1" applyBorder="1" applyFont="1">
      <alignment horizontal="left" shrinkToFit="0" vertical="center" wrapText="1"/>
    </xf>
    <xf borderId="115" fillId="5" fontId="1" numFmtId="49" xfId="0" applyAlignment="1" applyBorder="1" applyFont="1" applyNumberFormat="1">
      <alignment horizontal="left" shrinkToFit="0" vertical="center" wrapText="1"/>
    </xf>
    <xf borderId="15" fillId="5" fontId="1" numFmtId="0" xfId="0" applyAlignment="1" applyBorder="1" applyFont="1">
      <alignment horizontal="left" shrinkToFit="0" vertical="center" wrapText="1"/>
    </xf>
    <xf borderId="21" fillId="5" fontId="1" numFmtId="0" xfId="0" applyAlignment="1" applyBorder="1" applyFont="1">
      <alignment horizontal="left" shrinkToFit="0" vertical="center" wrapText="1"/>
    </xf>
    <xf borderId="21" fillId="10" fontId="61" numFmtId="0" xfId="0" applyAlignment="1" applyBorder="1" applyFont="1">
      <alignment horizontal="center" vertical="center"/>
    </xf>
    <xf borderId="114" fillId="5" fontId="1" numFmtId="0" xfId="0" applyAlignment="1" applyBorder="1" applyFont="1">
      <alignment horizontal="left" shrinkToFit="0" vertical="center" wrapText="1"/>
    </xf>
    <xf borderId="114" fillId="5" fontId="1" numFmtId="49" xfId="0" applyAlignment="1" applyBorder="1" applyFont="1" applyNumberFormat="1">
      <alignment horizontal="left" shrinkToFit="0" vertical="center" wrapText="1"/>
    </xf>
    <xf borderId="119" fillId="6" fontId="50" numFmtId="0" xfId="0" applyAlignment="1" applyBorder="1" applyFont="1">
      <alignment vertical="top"/>
    </xf>
    <xf borderId="114" fillId="6" fontId="50" numFmtId="49" xfId="0" applyAlignment="1" applyBorder="1" applyFont="1" applyNumberFormat="1">
      <alignment vertical="top"/>
    </xf>
    <xf borderId="114" fillId="6" fontId="50" numFmtId="0" xfId="0" applyAlignment="1" applyBorder="1" applyFont="1">
      <alignment vertical="top"/>
    </xf>
    <xf borderId="120" fillId="6" fontId="50" numFmtId="0" xfId="0" applyAlignment="1" applyBorder="1" applyFont="1">
      <alignment vertical="top"/>
    </xf>
    <xf borderId="45" fillId="6" fontId="50" numFmtId="0" xfId="0" applyAlignment="1" applyBorder="1" applyFont="1">
      <alignment vertical="top"/>
    </xf>
    <xf borderId="121" fillId="2" fontId="1" numFmtId="0" xfId="0" applyAlignment="1" applyBorder="1" applyFont="1">
      <alignment horizontal="center" vertical="top"/>
    </xf>
    <xf borderId="22" fillId="0" fontId="7" numFmtId="0" xfId="0" applyBorder="1" applyFont="1"/>
    <xf borderId="98" fillId="2" fontId="12" numFmtId="0" xfId="0" applyAlignment="1" applyBorder="1" applyFont="1">
      <alignment horizontal="center" vertical="top"/>
    </xf>
    <xf borderId="98" fillId="0" fontId="7" numFmtId="0" xfId="0" applyBorder="1" applyFont="1"/>
    <xf borderId="45" fillId="6" fontId="13" numFmtId="0" xfId="0" applyAlignment="1" applyBorder="1" applyFont="1">
      <alignment horizontal="left" vertical="top"/>
    </xf>
    <xf borderId="122" fillId="6" fontId="62" numFmtId="0" xfId="0" applyAlignment="1" applyBorder="1" applyFont="1">
      <alignment horizontal="center" vertical="center"/>
    </xf>
    <xf borderId="122" fillId="6" fontId="13" numFmtId="0" xfId="0" applyAlignment="1" applyBorder="1" applyFont="1">
      <alignment horizontal="left" vertical="center"/>
    </xf>
    <xf borderId="122" fillId="6" fontId="63" numFmtId="0" xfId="0" applyAlignment="1" applyBorder="1" applyFont="1">
      <alignment horizontal="center" vertical="center"/>
    </xf>
    <xf borderId="122" fillId="6" fontId="50" numFmtId="0" xfId="0" applyAlignment="1" applyBorder="1" applyFont="1">
      <alignment horizontal="center" vertical="center"/>
    </xf>
    <xf borderId="122" fillId="6" fontId="13" numFmtId="0" xfId="0" applyAlignment="1" applyBorder="1" applyFont="1">
      <alignment horizontal="center" vertical="center"/>
    </xf>
    <xf borderId="123" fillId="0" fontId="7" numFmtId="0" xfId="0" applyBorder="1" applyFont="1"/>
    <xf borderId="124" fillId="0" fontId="7" numFmtId="0" xfId="0" applyBorder="1" applyFont="1"/>
    <xf borderId="125" fillId="27" fontId="63" numFmtId="0" xfId="0" applyAlignment="1" applyBorder="1" applyFill="1" applyFont="1">
      <alignment horizontal="left" vertical="top"/>
    </xf>
    <xf borderId="126" fillId="0" fontId="7" numFmtId="0" xfId="0" applyBorder="1" applyFont="1"/>
    <xf borderId="127" fillId="0" fontId="7" numFmtId="0" xfId="0" applyBorder="1" applyFont="1"/>
    <xf borderId="128" fillId="27" fontId="63" numFmtId="0" xfId="0" applyAlignment="1" applyBorder="1" applyFont="1">
      <alignment horizontal="left" vertical="top"/>
    </xf>
    <xf borderId="129" fillId="0" fontId="7" numFmtId="0" xfId="0" applyBorder="1" applyFont="1"/>
    <xf borderId="6" fillId="28" fontId="64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left" vertical="center"/>
    </xf>
    <xf borderId="130" fillId="29" fontId="39" numFmtId="0" xfId="0" applyAlignment="1" applyBorder="1" applyFill="1" applyFont="1">
      <alignment horizontal="center" vertical="center"/>
    </xf>
    <xf borderId="6" fillId="30" fontId="1" numFmtId="0" xfId="0" applyAlignment="1" applyBorder="1" applyFill="1" applyFont="1">
      <alignment horizontal="left" vertical="center"/>
    </xf>
    <xf borderId="131" fillId="3" fontId="7" numFmtId="0" xfId="0" applyAlignment="1" applyBorder="1" applyFont="1">
      <alignment horizontal="left" vertical="center"/>
    </xf>
    <xf borderId="132" fillId="0" fontId="7" numFmtId="0" xfId="0" applyBorder="1" applyFont="1"/>
    <xf borderId="6" fillId="31" fontId="1" numFmtId="0" xfId="0" applyAlignment="1" applyBorder="1" applyFill="1" applyFont="1">
      <alignment horizontal="left" vertical="center"/>
    </xf>
    <xf borderId="6" fillId="3" fontId="7" numFmtId="0" xfId="0" applyAlignment="1" applyBorder="1" applyFont="1">
      <alignment horizontal="left" vertical="center"/>
    </xf>
    <xf borderId="6" fillId="2" fontId="1" numFmtId="0" xfId="0" applyAlignment="1" applyBorder="1" applyFont="1">
      <alignment horizontal="center" vertical="top"/>
    </xf>
    <xf borderId="133" fillId="32" fontId="65" numFmtId="0" xfId="0" applyAlignment="1" applyBorder="1" applyFill="1" applyFont="1">
      <alignment vertical="top"/>
    </xf>
    <xf borderId="134" fillId="32" fontId="65" numFmtId="0" xfId="0" applyAlignment="1" applyBorder="1" applyFont="1">
      <alignment vertical="top"/>
    </xf>
    <xf borderId="6" fillId="32" fontId="65" numFmtId="0" xfId="0" applyAlignment="1" applyBorder="1" applyFont="1">
      <alignment vertical="top"/>
    </xf>
    <xf borderId="135" fillId="32" fontId="65" numFmtId="0" xfId="0" applyAlignment="1" applyBorder="1" applyFont="1">
      <alignment vertical="top"/>
    </xf>
    <xf borderId="45" fillId="32" fontId="65" numFmtId="0" xfId="0" applyAlignment="1" applyBorder="1" applyFont="1">
      <alignment vertical="top"/>
    </xf>
    <xf borderId="136" fillId="32" fontId="65" numFmtId="0" xfId="0" applyAlignment="1" applyBorder="1" applyFont="1">
      <alignment vertical="top"/>
    </xf>
    <xf borderId="137" fillId="32" fontId="65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000">
                <a:solidFill>
                  <a:srgbClr val="333232"/>
                </a:solidFill>
                <a:latin typeface="Arial"/>
              </a:defRPr>
            </a:pPr>
            <a:r>
              <a:rPr b="0" i="0" sz="1000">
                <a:solidFill>
                  <a:srgbClr val="333232"/>
                </a:solidFill>
                <a:latin typeface="Arial"/>
              </a:rPr>
              <a:t>月間推移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'📊ダッシュボード'!$B$10</c:f>
            </c:strRef>
          </c:tx>
          <c:spPr>
            <a:ln cmpd="sng" w="19050">
              <a:solidFill>
                <a:srgbClr val="5A9BD4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'📊ダッシュボード'!$C$9:$G$9</c:f>
            </c:strRef>
          </c:cat>
          <c:val>
            <c:numRef>
              <c:f>'📊ダッシュボード'!$C$10:$G$10</c:f>
              <c:numCache/>
            </c:numRef>
          </c:val>
          <c:smooth val="0"/>
        </c:ser>
        <c:ser>
          <c:idx val="1"/>
          <c:order val="1"/>
          <c:tx>
            <c:strRef>
              <c:f>'📊ダッシュボード'!$B$11</c:f>
            </c:strRef>
          </c:tx>
          <c:spPr>
            <a:ln cmpd="sng" w="19050">
              <a:solidFill>
                <a:srgbClr val="ED7D31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'📊ダッシュボード'!$C$9:$G$9</c:f>
            </c:strRef>
          </c:cat>
          <c:val>
            <c:numRef>
              <c:f>'📊ダッシュボード'!$C$11:$G$11</c:f>
              <c:numCache/>
            </c:numRef>
          </c:val>
          <c:smooth val="0"/>
        </c:ser>
        <c:axId val="1188438022"/>
        <c:axId val="1899039405"/>
      </c:lineChart>
      <c:catAx>
        <c:axId val="1188438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101"/>
                    </a:solidFill>
                    <a:latin typeface="+mn-lt"/>
                  </a:defRPr>
                </a:pPr>
                <a:r>
                  <a:rPr b="0" i="0">
                    <a:solidFill>
                      <a:srgbClr val="000101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101"/>
                </a:solidFill>
                <a:latin typeface="+mn-lt"/>
              </a:defRPr>
            </a:pPr>
          </a:p>
        </c:txPr>
        <c:crossAx val="1899039405"/>
      </c:catAx>
      <c:valAx>
        <c:axId val="1899039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101"/>
                    </a:solidFill>
                    <a:latin typeface="+mn-lt"/>
                  </a:defRPr>
                </a:pPr>
                <a:r>
                  <a:rPr b="0" i="0">
                    <a:solidFill>
                      <a:srgbClr val="000101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101"/>
                </a:solidFill>
                <a:latin typeface="+mn-lt"/>
              </a:defRPr>
            </a:pPr>
          </a:p>
        </c:txPr>
        <c:crossAx val="1188438022"/>
      </c:valAx>
    </c:plotArea>
    <c:legend>
      <c:legendPos val="r"/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000">
                <a:solidFill>
                  <a:srgbClr val="333232"/>
                </a:solidFill>
                <a:latin typeface="Arial"/>
              </a:defRPr>
            </a:pPr>
            <a:r>
              <a:rPr b="0" i="0" sz="1000">
                <a:solidFill>
                  <a:srgbClr val="333232"/>
                </a:solidFill>
                <a:latin typeface="Arial"/>
              </a:rPr>
              <a:t>業者ランク分布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'📊ダッシュボード'!$I$10</c:f>
            </c:strRef>
          </c:tx>
          <c:cat>
            <c:strRef>
              <c:f>'📊ダッシュボード'!$J$9</c:f>
            </c:strRef>
          </c:cat>
          <c:val>
            <c:numRef>
              <c:f>'📊ダッシュボード'!$J$10</c:f>
              <c:numCache/>
            </c:numRef>
          </c:val>
        </c:ser>
        <c:ser>
          <c:idx val="1"/>
          <c:order val="1"/>
          <c:tx>
            <c:strRef>
              <c:f>'📊ダッシュボード'!$I$11</c:f>
            </c:strRef>
          </c:tx>
          <c:cat>
            <c:strRef>
              <c:f>'📊ダッシュボード'!$J$9</c:f>
            </c:strRef>
          </c:cat>
          <c:val>
            <c:numRef>
              <c:f>'📊ダッシュボード'!$J$11</c:f>
              <c:numCache/>
            </c:numRef>
          </c:val>
        </c:ser>
        <c:ser>
          <c:idx val="2"/>
          <c:order val="2"/>
          <c:tx>
            <c:strRef>
              <c:f>'📊ダッシュボード'!$I$12</c:f>
            </c:strRef>
          </c:tx>
          <c:cat>
            <c:strRef>
              <c:f>'📊ダッシュボード'!$J$9</c:f>
            </c:strRef>
          </c:cat>
          <c:val>
            <c:numRef>
              <c:f>'📊ダッシュボード'!$J$12</c:f>
              <c:numCache/>
            </c:numRef>
          </c:val>
        </c:ser>
        <c:axId val="1266731935"/>
        <c:axId val="965073503"/>
      </c:barChart>
      <c:catAx>
        <c:axId val="1266731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101"/>
                    </a:solidFill>
                    <a:latin typeface="+mn-lt"/>
                  </a:defRPr>
                </a:pPr>
                <a:r>
                  <a:rPr b="0" i="0">
                    <a:solidFill>
                      <a:srgbClr val="000101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101"/>
                </a:solidFill>
                <a:latin typeface="+mn-lt"/>
              </a:defRPr>
            </a:pPr>
          </a:p>
        </c:txPr>
        <c:crossAx val="965073503"/>
      </c:catAx>
      <c:valAx>
        <c:axId val="96507350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66731935"/>
      </c:valAx>
    </c:plotArea>
    <c:legend>
      <c:legendPos val="r"/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000">
                <a:solidFill>
                  <a:srgbClr val="323233"/>
                </a:solidFill>
                <a:latin typeface="Arial"/>
              </a:defRPr>
            </a:pPr>
            <a:r>
              <a:rPr b="0" i="0" sz="1000">
                <a:solidFill>
                  <a:srgbClr val="323233"/>
                </a:solidFill>
                <a:latin typeface="Arial"/>
              </a:rPr>
              <a:t>査定額分析（最高・最低・平均）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'査定比較分析'!$A$4</c:f>
            </c:strRef>
          </c:tx>
          <c:cat>
            <c:strRef>
              <c:f>'査定比較分析'!$B$3:$F$3</c:f>
            </c:strRef>
          </c:cat>
          <c:val>
            <c:numRef>
              <c:f>'査定比較分析'!$B$4:$F$4</c:f>
              <c:numCache/>
            </c:numRef>
          </c:val>
        </c:ser>
        <c:axId val="595421106"/>
        <c:axId val="1389188727"/>
      </c:barChart>
      <c:catAx>
        <c:axId val="595421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101"/>
                    </a:solidFill>
                    <a:latin typeface="+mn-lt"/>
                  </a:defRPr>
                </a:pPr>
                <a:r>
                  <a:rPr b="0" i="0">
                    <a:solidFill>
                      <a:srgbClr val="000101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101"/>
                </a:solidFill>
                <a:latin typeface="+mn-lt"/>
              </a:defRPr>
            </a:pPr>
          </a:p>
        </c:txPr>
        <c:crossAx val="1389188727"/>
      </c:catAx>
      <c:valAx>
        <c:axId val="13891887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95421106"/>
      </c:valAx>
    </c:plotArea>
    <c:legend>
      <c:legendPos val="b"/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180975</xdr:rowOff>
    </xdr:from>
    <xdr:ext cx="2762250" cy="2714625"/>
    <xdr:graphicFrame>
      <xdr:nvGraphicFramePr>
        <xdr:cNvPr id="1161382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1190625</xdr:colOff>
      <xdr:row>19</xdr:row>
      <xdr:rowOff>180975</xdr:rowOff>
    </xdr:from>
    <xdr:ext cx="3143250" cy="2714625"/>
    <xdr:graphicFrame>
      <xdr:nvGraphicFramePr>
        <xdr:cNvPr id="101825355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95250</xdr:colOff>
      <xdr:row>0</xdr:row>
      <xdr:rowOff>95250</xdr:rowOff>
    </xdr:from>
    <xdr:ext cx="3429000" cy="2857500"/>
    <xdr:graphicFrame>
      <xdr:nvGraphicFramePr>
        <xdr:cNvPr id="2030079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101"/>
      </a:dk1>
      <a:lt1>
        <a:srgbClr val="FEFFFE"/>
      </a:lt1>
      <a:dk2>
        <a:srgbClr val="000101"/>
      </a:dk2>
      <a:lt2>
        <a:srgbClr val="FEFFFE"/>
      </a:lt2>
      <a:accent1>
        <a:srgbClr val="5A9BD4"/>
      </a:accent1>
      <a:accent2>
        <a:srgbClr val="ED7D31"/>
      </a:accent2>
      <a:accent3>
        <a:srgbClr val="A4A4A5"/>
      </a:accent3>
      <a:accent4>
        <a:srgbClr val="FEC100"/>
      </a:accent4>
      <a:accent5>
        <a:srgbClr val="4472C4"/>
      </a:accent5>
      <a:accent6>
        <a:srgbClr val="70AD47"/>
      </a:accent6>
      <a:hlink>
        <a:srgbClr val="0562C0"/>
      </a:hlink>
      <a:folHlink>
        <a:srgbClr val="0562C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5.0"/>
    <col customWidth="1" min="2" max="5" width="18.0"/>
    <col customWidth="1" min="6" max="15" width="15.0"/>
    <col customWidth="1" min="16" max="19" width="28.57"/>
    <col customWidth="1" min="20" max="20" width="17.14"/>
    <col customWidth="1" min="21" max="40" width="2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</row>
    <row r="2" ht="15.0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"/>
    </row>
    <row r="3" ht="15.0" customHeight="1">
      <c r="A3" s="7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ht="16.5" customHeight="1">
      <c r="A4" s="7"/>
      <c r="B4" s="8" t="s">
        <v>2</v>
      </c>
      <c r="C4" s="9"/>
      <c r="D4" s="9"/>
      <c r="E4" s="9"/>
      <c r="F4" s="9"/>
      <c r="G4" s="7"/>
      <c r="H4" s="8" t="s">
        <v>3</v>
      </c>
      <c r="I4" s="9"/>
      <c r="J4" s="9"/>
      <c r="K4" s="9"/>
      <c r="L4" s="9"/>
      <c r="M4" s="7"/>
      <c r="N4" s="8" t="s">
        <v>4</v>
      </c>
      <c r="O4" s="9"/>
      <c r="P4" s="9"/>
      <c r="Q4" s="9"/>
      <c r="R4" s="9"/>
      <c r="S4" s="7"/>
      <c r="T4" s="8" t="s">
        <v>5</v>
      </c>
      <c r="U4" s="9"/>
      <c r="V4" s="9"/>
      <c r="W4" s="9"/>
      <c r="X4" s="9"/>
      <c r="Y4" s="10"/>
      <c r="Z4" s="10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5"/>
    </row>
    <row r="5" ht="88.5" customHeight="1">
      <c r="A5" s="11">
        <f>COUNTA('📋査定物件詳細'!B5:B1000)</f>
        <v>4</v>
      </c>
      <c r="B5" s="2"/>
      <c r="C5" s="2"/>
      <c r="D5" s="3"/>
      <c r="E5" s="12"/>
      <c r="F5" s="13">
        <f>COUNTA('🏢業者情報管理'!B5:B1000)</f>
        <v>12</v>
      </c>
      <c r="G5" s="14"/>
      <c r="H5" s="15"/>
      <c r="I5" s="12"/>
      <c r="J5" s="12"/>
      <c r="M5" s="12"/>
      <c r="N5" s="16">
        <f>COUNTA('⚠️査定時の注意事項'!B5:B1000)</f>
        <v>9</v>
      </c>
      <c r="O5" s="17"/>
      <c r="P5" s="17"/>
      <c r="Q5" s="17"/>
      <c r="R5" s="17"/>
      <c r="S5" s="17"/>
      <c r="T5" s="18">
        <f>COUNTA('査定結果入力'!B5:B1000)</f>
        <v>13</v>
      </c>
      <c r="U5" s="17"/>
      <c r="V5" s="17"/>
      <c r="W5" s="17"/>
      <c r="X5" s="17"/>
      <c r="Y5" s="17"/>
      <c r="Z5" s="17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5"/>
    </row>
    <row r="6" ht="13.5" customHeight="1">
      <c r="A6" s="12"/>
      <c r="B6" s="19" t="s">
        <v>6</v>
      </c>
      <c r="C6" s="2"/>
      <c r="D6" s="2"/>
      <c r="E6" s="2"/>
      <c r="F6" s="3"/>
      <c r="G6" s="12"/>
      <c r="H6" s="20" t="s">
        <v>7</v>
      </c>
      <c r="I6" s="2"/>
      <c r="J6" s="2"/>
      <c r="K6" s="2"/>
      <c r="L6" s="3"/>
      <c r="M6" s="12"/>
      <c r="N6" s="21" t="s">
        <v>8</v>
      </c>
      <c r="O6" s="22"/>
      <c r="P6" s="22"/>
      <c r="Q6" s="22"/>
      <c r="R6" s="23"/>
      <c r="S6" s="12"/>
      <c r="T6" s="18" t="s">
        <v>9</v>
      </c>
      <c r="U6" s="17"/>
      <c r="V6" s="17"/>
      <c r="W6" s="17"/>
      <c r="X6" s="17"/>
      <c r="Y6" s="10"/>
      <c r="Z6" s="10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5"/>
    </row>
    <row r="7" ht="15.0" customHeight="1">
      <c r="A7" s="12"/>
      <c r="B7" s="24" t="s">
        <v>10</v>
      </c>
      <c r="C7" s="25"/>
      <c r="D7" s="26"/>
      <c r="E7" s="12"/>
      <c r="F7" s="27" t="s">
        <v>11</v>
      </c>
      <c r="G7" s="28"/>
      <c r="H7" s="29"/>
      <c r="I7" s="12"/>
      <c r="J7" s="30" t="s">
        <v>12</v>
      </c>
      <c r="K7" s="25"/>
      <c r="L7" s="25"/>
      <c r="M7" s="12"/>
      <c r="N7" s="31" t="s">
        <v>13</v>
      </c>
      <c r="O7" s="28"/>
      <c r="P7" s="28"/>
      <c r="Q7" s="12"/>
      <c r="R7" s="12"/>
      <c r="S7" s="12"/>
      <c r="T7" s="32" t="s">
        <v>14</v>
      </c>
      <c r="U7" s="28"/>
      <c r="V7" s="28"/>
      <c r="W7" s="28"/>
      <c r="X7" s="28"/>
      <c r="Y7" s="10"/>
      <c r="Z7" s="10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5"/>
    </row>
    <row r="8" ht="18.75" customHeight="1">
      <c r="A8" s="7"/>
      <c r="B8" s="33"/>
      <c r="D8" s="34"/>
      <c r="E8" s="7"/>
      <c r="F8" s="35"/>
      <c r="H8" s="34"/>
      <c r="I8" s="36" t="s">
        <v>15</v>
      </c>
      <c r="J8" s="33"/>
      <c r="M8" s="7"/>
      <c r="N8" s="35"/>
      <c r="Q8" s="7"/>
      <c r="R8" s="7"/>
      <c r="S8" s="7"/>
      <c r="T8" s="35"/>
      <c r="Y8" s="10"/>
      <c r="Z8" s="10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5"/>
    </row>
    <row r="9" ht="15.0" customHeight="1">
      <c r="A9" s="12"/>
      <c r="B9" s="33"/>
      <c r="D9" s="34"/>
      <c r="E9" s="37" t="s">
        <v>16</v>
      </c>
      <c r="F9" s="35"/>
      <c r="H9" s="34"/>
      <c r="I9" s="38" t="s">
        <v>17</v>
      </c>
      <c r="J9" s="33"/>
      <c r="M9" s="12"/>
      <c r="N9" s="35"/>
      <c r="Q9" s="12"/>
      <c r="R9" s="12"/>
      <c r="S9" s="12"/>
      <c r="T9" s="35"/>
      <c r="Y9" s="10"/>
      <c r="Z9" s="10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5"/>
    </row>
    <row r="10" ht="15.0" customHeight="1">
      <c r="A10" s="12"/>
      <c r="B10" s="33"/>
      <c r="D10" s="34"/>
      <c r="E10" s="39">
        <f>COUNTIFS('査定結果入力'!D:D,"2025-08",'査定結果入力'!F:F,"新規")</f>
        <v>0</v>
      </c>
      <c r="F10" s="35"/>
      <c r="H10" s="34"/>
      <c r="I10" s="39" t="s">
        <v>18</v>
      </c>
      <c r="J10" s="33"/>
      <c r="M10" s="12"/>
      <c r="N10" s="35"/>
      <c r="Q10" s="12"/>
      <c r="R10" s="12"/>
      <c r="S10" s="12"/>
      <c r="T10" s="12"/>
      <c r="Y10" s="10"/>
      <c r="Z10" s="10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5"/>
    </row>
    <row r="11" ht="15.0" customHeight="1">
      <c r="A11" s="7"/>
      <c r="B11" s="40"/>
      <c r="C11" s="41"/>
      <c r="D11" s="42"/>
      <c r="E11" s="39">
        <f>COUNTIFS('査定結果入力'!D:D,"2025-09",'査定結果入力'!F:F,"新規")</f>
        <v>0</v>
      </c>
      <c r="F11" s="43"/>
      <c r="G11" s="41"/>
      <c r="H11" s="42"/>
      <c r="I11" s="39" t="s">
        <v>19</v>
      </c>
      <c r="J11" s="33"/>
      <c r="M11" s="12"/>
      <c r="N11" s="35"/>
      <c r="Q11" s="12"/>
      <c r="R11" s="12"/>
      <c r="S11" s="12"/>
      <c r="Y11" s="10"/>
      <c r="Z11" s="10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5"/>
    </row>
    <row r="12" ht="15.0" customHeight="1">
      <c r="A12" s="44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12"/>
      <c r="N12" s="12"/>
      <c r="Q12" s="12"/>
      <c r="R12" s="12"/>
      <c r="S12" s="12"/>
      <c r="T12" s="12"/>
      <c r="U12" s="10"/>
      <c r="V12" s="10"/>
      <c r="W12" s="10"/>
      <c r="X12" s="10"/>
      <c r="Y12" s="10"/>
      <c r="Z12" s="10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5"/>
    </row>
    <row r="13" ht="15.0" customHeight="1">
      <c r="A13" s="44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12"/>
      <c r="Q13" s="12"/>
      <c r="R13" s="12"/>
      <c r="S13" s="12"/>
      <c r="T13" s="12"/>
      <c r="U13" s="10"/>
      <c r="V13" s="10"/>
      <c r="W13" s="10"/>
      <c r="X13" s="10"/>
      <c r="Y13" s="10"/>
      <c r="Z13" s="10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5"/>
    </row>
    <row r="14" ht="25.5" customHeight="1">
      <c r="A14" s="12"/>
      <c r="B14" s="45" t="s">
        <v>22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12"/>
      <c r="O14" s="12"/>
      <c r="P14" s="12"/>
      <c r="Q14" s="12"/>
      <c r="R14" s="12"/>
      <c r="S14" s="12"/>
      <c r="T14" s="12"/>
      <c r="U14" s="10"/>
      <c r="V14" s="10"/>
      <c r="W14" s="10"/>
      <c r="X14" s="10"/>
      <c r="Y14" s="10"/>
      <c r="Z14" s="10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5"/>
    </row>
    <row r="15" ht="15.0" customHeight="1">
      <c r="A15" s="46" t="s">
        <v>23</v>
      </c>
      <c r="B15" s="2"/>
      <c r="C15" s="2"/>
      <c r="D15" s="3"/>
      <c r="E15" s="39">
        <v>1.0</v>
      </c>
      <c r="F15" s="39" t="str">
        <f t="shared" ref="F15:F16" si="1">D15/C15</f>
        <v>#DIV/0!</v>
      </c>
      <c r="G15" s="47" t="s">
        <v>24</v>
      </c>
      <c r="H15" s="12"/>
      <c r="I15" s="48" t="s">
        <v>25</v>
      </c>
      <c r="J15" s="48">
        <f>COUNTIF('🏢業者情報管理'!H7:H1000,"B")</f>
        <v>3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0"/>
      <c r="V15" s="10"/>
      <c r="W15" s="10"/>
      <c r="X15" s="10"/>
      <c r="Y15" s="10"/>
      <c r="Z15" s="10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5"/>
    </row>
    <row r="16" ht="18.75" customHeight="1">
      <c r="A16" s="12"/>
      <c r="B16" s="39" t="s">
        <v>26</v>
      </c>
      <c r="C16" s="39">
        <v>14.0</v>
      </c>
      <c r="D16" s="39">
        <v>9.0</v>
      </c>
      <c r="E16" s="39">
        <v>2.0</v>
      </c>
      <c r="F16" s="39">
        <f t="shared" si="1"/>
        <v>0.6428571429</v>
      </c>
      <c r="G16" s="49" t="s">
        <v>27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0"/>
      <c r="V16" s="10"/>
      <c r="W16" s="10"/>
      <c r="X16" s="10"/>
      <c r="Y16" s="10"/>
      <c r="Z16" s="1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5"/>
    </row>
    <row r="17" ht="15.0" customHeight="1">
      <c r="A17" s="46" t="s">
        <v>28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12"/>
      <c r="R17" s="12"/>
      <c r="S17" s="12"/>
      <c r="T17" s="7"/>
      <c r="Y17" s="10"/>
      <c r="Z17" s="10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5"/>
    </row>
    <row r="18" ht="15.0" customHeight="1">
      <c r="A18" s="12"/>
      <c r="B18" s="39" t="s">
        <v>29</v>
      </c>
      <c r="C18" s="39">
        <v>20.0</v>
      </c>
      <c r="D18" s="39">
        <v>15.0</v>
      </c>
      <c r="E18" s="39">
        <v>4.0</v>
      </c>
      <c r="F18" s="39">
        <f>D18/C18</f>
        <v>0.75</v>
      </c>
      <c r="G18" s="49" t="s">
        <v>30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Y18" s="10"/>
      <c r="Z18" s="1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5"/>
    </row>
    <row r="19" ht="15.0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0"/>
      <c r="V19" s="10"/>
      <c r="W19" s="10"/>
      <c r="X19" s="10"/>
      <c r="Y19" s="10"/>
      <c r="Z19" s="10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5"/>
    </row>
    <row r="20" ht="15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</row>
    <row r="21" ht="15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</row>
    <row r="22" ht="15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</row>
    <row r="23" ht="15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</row>
    <row r="24" ht="15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</row>
    <row r="25" ht="15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</row>
    <row r="26" ht="15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</row>
    <row r="27" ht="15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</row>
    <row r="28" ht="15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</row>
    <row r="29" ht="15.0" customHeight="1">
      <c r="A29" s="7"/>
      <c r="B29" s="51" t="str">
        <f>CONCATENATE("🔍 OCR: ",'📸OCR機能セットアップ'!B358,"/1000回 (残り",'📸OCR機能セットアップ'!D355,")")</f>
        <v>🔍 OCR: /1000回 (残り)</v>
      </c>
      <c r="C29" s="25"/>
      <c r="D29" s="25"/>
      <c r="E29" s="2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</row>
    <row r="30" ht="15.0" customHeight="1">
      <c r="A30" s="7"/>
      <c r="B30" s="52" t="str">
        <f>IF('📸OCR機能セットアップ'!D355&gt;500,"🟢 余裕あり",IF('📸OCR機能セットアップ'!D355&gt;200,"🟡 注意","🔴 残り少ない"))</f>
        <v>🔴 残り少ない</v>
      </c>
      <c r="C30" s="2"/>
      <c r="D30" s="2"/>
      <c r="E30" s="3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</row>
    <row r="31" ht="15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</row>
    <row r="32" ht="18.75" customHeight="1">
      <c r="A32" s="7"/>
      <c r="B32" s="8" t="s">
        <v>31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7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</row>
    <row r="33" ht="15.0" customHeight="1">
      <c r="A33" s="7"/>
      <c r="B33" s="53" t="s">
        <v>32</v>
      </c>
      <c r="C33" s="25"/>
      <c r="D33" s="25"/>
      <c r="E33" s="26"/>
      <c r="F33" s="7"/>
      <c r="G33" s="53" t="s">
        <v>33</v>
      </c>
      <c r="H33" s="25"/>
      <c r="I33" s="25"/>
      <c r="J33" s="26"/>
      <c r="K33" s="7"/>
      <c r="L33" s="53" t="s">
        <v>34</v>
      </c>
      <c r="M33" s="25"/>
      <c r="N33" s="25"/>
      <c r="O33" s="26"/>
      <c r="P33" s="7"/>
      <c r="Q33" s="53" t="s">
        <v>35</v>
      </c>
      <c r="R33" s="25"/>
      <c r="S33" s="25"/>
      <c r="T33" s="26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</row>
    <row r="34" ht="15.0" customHeight="1">
      <c r="A34" s="7"/>
      <c r="B34" s="33"/>
      <c r="E34" s="34"/>
      <c r="F34" s="7"/>
      <c r="G34" s="33"/>
      <c r="J34" s="34"/>
      <c r="K34" s="7"/>
      <c r="L34" s="33"/>
      <c r="O34" s="34"/>
      <c r="P34" s="7"/>
      <c r="Q34" s="33"/>
      <c r="T34" s="34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</row>
    <row r="35" ht="15.0" customHeight="1">
      <c r="A35" s="7"/>
      <c r="B35" s="40"/>
      <c r="C35" s="41"/>
      <c r="D35" s="41"/>
      <c r="E35" s="42"/>
      <c r="F35" s="7"/>
      <c r="G35" s="40"/>
      <c r="H35" s="41"/>
      <c r="I35" s="41"/>
      <c r="J35" s="42"/>
      <c r="K35" s="7"/>
      <c r="L35" s="40"/>
      <c r="M35" s="41"/>
      <c r="N35" s="41"/>
      <c r="O35" s="42"/>
      <c r="P35" s="7"/>
      <c r="Q35" s="40"/>
      <c r="R35" s="41"/>
      <c r="S35" s="41"/>
      <c r="T35" s="42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</row>
    <row r="36" ht="15.0" customHeight="1">
      <c r="A36" s="7"/>
      <c r="B36" s="54" t="s">
        <v>36</v>
      </c>
      <c r="C36" s="25"/>
      <c r="D36" s="25"/>
      <c r="E36" s="26"/>
      <c r="F36" s="7"/>
      <c r="G36" s="54" t="s">
        <v>37</v>
      </c>
      <c r="H36" s="25"/>
      <c r="I36" s="25"/>
      <c r="J36" s="26"/>
      <c r="K36" s="7"/>
      <c r="L36" s="55" t="s">
        <v>38</v>
      </c>
      <c r="M36" s="25"/>
      <c r="N36" s="25"/>
      <c r="O36" s="25"/>
      <c r="P36" s="7"/>
      <c r="Q36" s="55" t="s">
        <v>39</v>
      </c>
      <c r="R36" s="25"/>
      <c r="S36" s="25"/>
      <c r="T36" s="25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</row>
    <row r="37" ht="15.0" customHeight="1">
      <c r="A37" s="7"/>
      <c r="B37" s="33"/>
      <c r="E37" s="34"/>
      <c r="F37" s="7"/>
      <c r="G37" s="33"/>
      <c r="J37" s="34"/>
      <c r="K37" s="7"/>
      <c r="L37" s="33"/>
      <c r="P37" s="7"/>
      <c r="Q37" s="33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</row>
    <row r="38" ht="15.0" customHeight="1">
      <c r="A38" s="7"/>
      <c r="B38" s="40"/>
      <c r="C38" s="41"/>
      <c r="D38" s="41"/>
      <c r="E38" s="42"/>
      <c r="F38" s="7"/>
      <c r="G38" s="40"/>
      <c r="H38" s="41"/>
      <c r="I38" s="41"/>
      <c r="J38" s="42"/>
      <c r="K38" s="7"/>
      <c r="L38" s="33"/>
      <c r="P38" s="7"/>
      <c r="Q38" s="33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</row>
    <row r="39" ht="15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</row>
    <row r="40" ht="15.0" customHeight="1">
      <c r="A40" s="7"/>
      <c r="B40" s="45" t="s">
        <v>40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7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</row>
    <row r="41" ht="15.0" customHeight="1">
      <c r="A41" s="7"/>
      <c r="B41" s="45" t="s">
        <v>41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7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</row>
    <row r="60" ht="15.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</row>
    <row r="61" ht="15.0" customHeight="1">
      <c r="A61" s="50"/>
      <c r="C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</row>
    <row r="62" ht="28.5" customHeight="1">
      <c r="A62" s="50"/>
      <c r="B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</row>
    <row r="63" ht="15.0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</row>
    <row r="64" ht="15.0" customHeight="1">
      <c r="A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</row>
    <row r="65" ht="19.5" customHeight="1">
      <c r="A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</row>
    <row r="66" ht="19.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</row>
    <row r="67" ht="19.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</row>
    <row r="68" ht="19.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</row>
    <row r="69" ht="19.5" customHeight="1">
      <c r="A69" s="50"/>
      <c r="B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</row>
    <row r="70" ht="19.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</row>
    <row r="71" ht="15.0" customHeight="1">
      <c r="A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</row>
    <row r="72" ht="15.0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</row>
    <row r="73" ht="21.0" customHeight="1">
      <c r="A73" s="50"/>
      <c r="B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</row>
    <row r="74" ht="19.5" customHeight="1">
      <c r="A74" s="50"/>
      <c r="B74" s="50"/>
      <c r="H74" s="50"/>
      <c r="I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</row>
    <row r="75" ht="19.5" customHeight="1">
      <c r="A75" s="50"/>
      <c r="B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</row>
    <row r="76" ht="19.5" customHeight="1">
      <c r="A76" s="50"/>
      <c r="B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</row>
    <row r="77" ht="19.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</row>
    <row r="78" ht="15.0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</row>
    <row r="79" ht="25.5" customHeight="1">
      <c r="A79" s="50"/>
      <c r="B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</row>
    <row r="80" ht="15.0" customHeight="1">
      <c r="A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</row>
    <row r="81" ht="15.0" customHeight="1">
      <c r="A81" s="50"/>
      <c r="Q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</row>
    <row r="82" ht="15.0" customHeight="1">
      <c r="A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</row>
    <row r="83" ht="15.0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</row>
    <row r="84" ht="15.0" customHeight="1">
      <c r="A84" s="50"/>
      <c r="B84" s="50"/>
      <c r="F84" s="50"/>
      <c r="G84" s="50"/>
      <c r="K84" s="50"/>
      <c r="L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</row>
    <row r="85" ht="15.0" customHeight="1">
      <c r="A85" s="50"/>
      <c r="F85" s="50"/>
      <c r="K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</row>
    <row r="92" ht="21.0" customHeight="1">
      <c r="A92" s="50"/>
      <c r="B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</row>
    <row r="93" ht="15.0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</row>
    <row r="94" ht="15.0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</row>
    <row r="95" ht="15.0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</row>
    <row r="96" ht="15.0" customHeight="1">
      <c r="A96" s="50"/>
      <c r="B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</row>
    <row r="98" ht="22.5" customHeight="1">
      <c r="A98" s="50"/>
      <c r="B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</row>
    <row r="100" ht="25.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</row>
    <row r="101" ht="15.0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</row>
    <row r="102" ht="15.0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</row>
    <row r="103" ht="16.5" customHeight="1">
      <c r="A103" s="50"/>
      <c r="B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</row>
    <row r="104" ht="15.0" customHeight="1">
      <c r="A104" s="50"/>
      <c r="B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</row>
    <row r="105" ht="15.0" customHeight="1">
      <c r="A105" s="50"/>
      <c r="B105" s="50"/>
      <c r="H105" s="50"/>
      <c r="I105" s="50"/>
      <c r="O105" s="50"/>
      <c r="P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</row>
    <row r="106" ht="15.0" customHeight="1">
      <c r="A106" s="50"/>
      <c r="H106" s="50"/>
      <c r="O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</row>
    <row r="107" ht="15.75" customHeight="1">
      <c r="A107" s="50"/>
      <c r="H107" s="50"/>
      <c r="O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</row>
    <row r="108" ht="15.75" customHeight="1">
      <c r="A108" s="50"/>
      <c r="H108" s="50"/>
      <c r="O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</row>
    <row r="109" ht="15.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</row>
    <row r="110" ht="25.5" customHeight="1">
      <c r="A110" s="50"/>
      <c r="B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</row>
    <row r="111" ht="15.0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</row>
    <row r="112" ht="28.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</row>
    <row r="113" ht="21.0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</row>
    <row r="114" ht="15.0" customHeight="1">
      <c r="A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</row>
    <row r="115" ht="19.5" customHeight="1">
      <c r="A115" s="50"/>
      <c r="B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</row>
    <row r="116" ht="18.75" customHeight="1">
      <c r="A116" s="50"/>
      <c r="B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</row>
    <row r="117" ht="15.0" customHeight="1">
      <c r="A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</row>
    <row r="118" ht="19.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</row>
    <row r="119" ht="15.75" customHeight="1">
      <c r="A119" s="50"/>
      <c r="C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</row>
    <row r="120" ht="19.5" customHeight="1">
      <c r="A120" s="50"/>
      <c r="C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</row>
    <row r="121" ht="15.0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</row>
    <row r="122" ht="15.0" customHeight="1">
      <c r="A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</row>
    <row r="123" ht="15.0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</row>
    <row r="124" ht="21.0" customHeight="1">
      <c r="A124" s="50"/>
      <c r="B124" s="50"/>
      <c r="G124" s="50"/>
      <c r="H124" s="50"/>
      <c r="M124" s="50"/>
      <c r="N124" s="50"/>
      <c r="S124" s="50"/>
      <c r="T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</row>
    <row r="125" ht="15.0" customHeight="1">
      <c r="A125" s="50"/>
      <c r="G125" s="50"/>
      <c r="M125" s="50"/>
      <c r="S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</row>
    <row r="126" ht="21.0" customHeight="1">
      <c r="A126" s="50"/>
      <c r="G126" s="50"/>
      <c r="M126" s="50"/>
      <c r="S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</row>
    <row r="127" ht="15.0" customHeight="1">
      <c r="A127" s="50"/>
      <c r="G127" s="50"/>
      <c r="M127" s="50"/>
      <c r="S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</row>
    <row r="128" ht="15.0" customHeight="1">
      <c r="A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</row>
    <row r="129" ht="15.0" customHeight="1">
      <c r="A129" s="50"/>
      <c r="B129" s="50"/>
      <c r="G129" s="50"/>
      <c r="H129" s="50"/>
      <c r="M129" s="50"/>
      <c r="N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</row>
    <row r="130" ht="15.0" customHeight="1">
      <c r="A130" s="50"/>
      <c r="G130" s="50"/>
      <c r="M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</row>
    <row r="131" ht="15.0" customHeight="1">
      <c r="A131" s="50"/>
      <c r="G131" s="50"/>
      <c r="M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</row>
    <row r="132" ht="15.0" customHeight="1">
      <c r="A132" s="50"/>
      <c r="G132" s="50"/>
      <c r="M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</row>
    <row r="133" ht="15.0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</row>
    <row r="134" ht="15.0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</row>
    <row r="135" ht="15.0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</row>
    <row r="136" ht="19.5" customHeight="1">
      <c r="A136" s="50"/>
      <c r="B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</row>
    <row r="137" ht="16.5" customHeight="1">
      <c r="A137" s="50"/>
      <c r="B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</row>
    <row r="138" ht="15.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</row>
    <row r="139" ht="15.0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</row>
    <row r="140" ht="15.0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</row>
    <row r="141" ht="15.0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</row>
    <row r="142" ht="15.0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</row>
    <row r="143" ht="15.0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</row>
    <row r="144" ht="15.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</row>
    <row r="145" ht="15.0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</row>
    <row r="146" ht="15.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</row>
    <row r="147" ht="15.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</row>
    <row r="148" ht="15.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</row>
    <row r="149" ht="15.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</row>
    <row r="150" ht="15.0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</row>
    <row r="151" ht="15.0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</row>
    <row r="152" ht="15.0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</row>
    <row r="153" ht="15.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</row>
    <row r="154" ht="15.0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</row>
    <row r="155" ht="15.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</row>
    <row r="156" ht="15.0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</row>
    <row r="157" ht="15.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</row>
    <row r="158" ht="15.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</row>
    <row r="159" ht="15.0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</row>
    <row r="160" ht="15.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</row>
    <row r="161" ht="15.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</row>
    <row r="162" ht="15.0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</row>
    <row r="163" ht="15.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</row>
    <row r="164" ht="15.0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</row>
    <row r="165" ht="15.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</row>
    <row r="166" ht="15.0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</row>
    <row r="167" ht="15.0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</row>
    <row r="168" ht="15.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</row>
    <row r="169" ht="15.0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</row>
    <row r="170" ht="15.0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</row>
    <row r="171" ht="15.0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</row>
    <row r="172" ht="15.0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</row>
    <row r="173" ht="15.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</row>
    <row r="174" ht="15.0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</row>
    <row r="175" ht="15.0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</row>
    <row r="176" ht="15.0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</row>
    <row r="177" ht="15.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</row>
    <row r="178" ht="15.0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</row>
    <row r="179" ht="15.0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</row>
    <row r="180" ht="15.0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</row>
    <row r="181" ht="15.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</row>
    <row r="182" ht="15.0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</row>
    <row r="183" ht="15.0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</row>
    <row r="184" ht="15.0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</row>
    <row r="185" ht="15.0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</row>
    <row r="186" ht="15.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</row>
    <row r="187" ht="15.0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</row>
    <row r="188" ht="15.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</row>
    <row r="189" ht="15.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</row>
    <row r="190" ht="15.0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</row>
    <row r="191" ht="15.0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</row>
    <row r="192" ht="15.0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</row>
    <row r="193" ht="15.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</row>
    <row r="194" ht="15.0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</row>
    <row r="195" ht="15.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</row>
    <row r="196" ht="15.0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</row>
    <row r="197" ht="15.0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</row>
    <row r="198" ht="15.0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</row>
    <row r="199" ht="15.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</row>
    <row r="200" ht="15.0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</row>
    <row r="201" ht="15.0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</row>
    <row r="202" ht="15.0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</row>
    <row r="203" ht="15.0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</row>
    <row r="204" ht="15.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</row>
    <row r="205" ht="15.0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</row>
    <row r="206" ht="15.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</row>
    <row r="207" ht="15.0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</row>
    <row r="208" ht="15.0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</row>
    <row r="209" ht="15.0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</row>
    <row r="210" ht="15.0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</row>
    <row r="211" ht="15.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</row>
    <row r="212" ht="15.0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</row>
    <row r="213" ht="15.0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</row>
    <row r="214" ht="15.0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</row>
    <row r="215" ht="15.0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</row>
    <row r="216" ht="15.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</row>
    <row r="217" ht="15.0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</row>
    <row r="218" ht="15.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</row>
    <row r="219" ht="15.0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</row>
    <row r="220" ht="15.0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</row>
    <row r="221" ht="15.0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</row>
    <row r="222" ht="15.0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</row>
    <row r="223" ht="15.0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</row>
    <row r="224" ht="15.0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</row>
    <row r="225" ht="15.0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</row>
    <row r="226" ht="15.0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</row>
    <row r="227" ht="15.0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</row>
    <row r="228" ht="15.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</row>
    <row r="229" ht="15.0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</row>
    <row r="230" ht="15.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</row>
    <row r="231" ht="15.0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</row>
    <row r="232" ht="15.0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</row>
    <row r="233" ht="15.0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</row>
    <row r="234" ht="15.0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</row>
    <row r="235" ht="15.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</row>
    <row r="236" ht="15.0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</row>
    <row r="237" ht="15.0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</row>
    <row r="238" ht="15.0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</row>
    <row r="239" ht="15.0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</row>
    <row r="240" ht="15.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</row>
    <row r="241" ht="15.0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73:P73"/>
    <mergeCell ref="B74:G74"/>
    <mergeCell ref="I74:N74"/>
    <mergeCell ref="B75:P75"/>
    <mergeCell ref="B76:G76"/>
    <mergeCell ref="B79:X79"/>
    <mergeCell ref="A80:B80"/>
    <mergeCell ref="A81:P81"/>
    <mergeCell ref="Q81:T82"/>
    <mergeCell ref="A82:B82"/>
    <mergeCell ref="B84:E85"/>
    <mergeCell ref="G84:J85"/>
    <mergeCell ref="L84:O85"/>
    <mergeCell ref="B92:G92"/>
    <mergeCell ref="B115:Y115"/>
    <mergeCell ref="B116:Y116"/>
    <mergeCell ref="A117:L117"/>
    <mergeCell ref="B96:G96"/>
    <mergeCell ref="B98:Y98"/>
    <mergeCell ref="B103:X103"/>
    <mergeCell ref="B104:X104"/>
    <mergeCell ref="I105:N108"/>
    <mergeCell ref="P105:U108"/>
    <mergeCell ref="B110:Z110"/>
    <mergeCell ref="B105:G108"/>
    <mergeCell ref="A114:C114"/>
    <mergeCell ref="A119:B119"/>
    <mergeCell ref="C119:D119"/>
    <mergeCell ref="A120:B120"/>
    <mergeCell ref="C120:D120"/>
    <mergeCell ref="A122:D122"/>
    <mergeCell ref="B129:F132"/>
    <mergeCell ref="B136:Z136"/>
    <mergeCell ref="B137:Z137"/>
    <mergeCell ref="B124:F127"/>
    <mergeCell ref="H124:L127"/>
    <mergeCell ref="N124:R127"/>
    <mergeCell ref="T124:X127"/>
    <mergeCell ref="A128:C128"/>
    <mergeCell ref="H129:L132"/>
    <mergeCell ref="N129:R132"/>
    <mergeCell ref="A1:Z1"/>
    <mergeCell ref="A2:Z2"/>
    <mergeCell ref="A3:Z3"/>
    <mergeCell ref="B4:F4"/>
    <mergeCell ref="H4:L4"/>
    <mergeCell ref="N4:R4"/>
    <mergeCell ref="T4:X4"/>
    <mergeCell ref="A5:D5"/>
    <mergeCell ref="F5:H5"/>
    <mergeCell ref="J5:L5"/>
    <mergeCell ref="N5:S5"/>
    <mergeCell ref="T5:Z5"/>
    <mergeCell ref="B6:F6"/>
    <mergeCell ref="H6:L6"/>
    <mergeCell ref="N6:R6"/>
    <mergeCell ref="T6:X6"/>
    <mergeCell ref="B7:D11"/>
    <mergeCell ref="F7:H11"/>
    <mergeCell ref="N7:P11"/>
    <mergeCell ref="T7:X9"/>
    <mergeCell ref="T10:X11"/>
    <mergeCell ref="J7:L11"/>
    <mergeCell ref="A12:L12"/>
    <mergeCell ref="N12:P13"/>
    <mergeCell ref="A13:L13"/>
    <mergeCell ref="B14:M14"/>
    <mergeCell ref="A17:P17"/>
    <mergeCell ref="T17:X18"/>
    <mergeCell ref="A15:D15"/>
    <mergeCell ref="B29:E29"/>
    <mergeCell ref="B30:E30"/>
    <mergeCell ref="B32:S32"/>
    <mergeCell ref="G33:J35"/>
    <mergeCell ref="L33:O35"/>
    <mergeCell ref="Q33:T35"/>
    <mergeCell ref="B33:E35"/>
    <mergeCell ref="B36:E38"/>
    <mergeCell ref="G36:J38"/>
    <mergeCell ref="L36:O38"/>
    <mergeCell ref="Q36:T38"/>
    <mergeCell ref="B40:S40"/>
    <mergeCell ref="B41:S41"/>
    <mergeCell ref="A61:B61"/>
    <mergeCell ref="C61:D61"/>
    <mergeCell ref="B62:Z62"/>
    <mergeCell ref="A64:L64"/>
    <mergeCell ref="A65:D65"/>
    <mergeCell ref="B69:P69"/>
    <mergeCell ref="A71:P71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0.0"/>
    <col customWidth="1" min="2" max="7" width="15.0"/>
    <col customWidth="1" min="8" max="8" width="17.14"/>
    <col customWidth="1" min="9" max="22" width="2.0"/>
  </cols>
  <sheetData>
    <row r="1" ht="22.5" customHeight="1">
      <c r="A1" s="56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56" t="s">
        <v>43</v>
      </c>
      <c r="B2" s="2"/>
      <c r="C2" s="2"/>
      <c r="D2" s="3"/>
      <c r="E2" s="12"/>
      <c r="F2" s="12"/>
      <c r="G2" s="12"/>
      <c r="H2" s="12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7" t="s">
        <v>44</v>
      </c>
      <c r="B3" s="7"/>
      <c r="C3" s="7"/>
      <c r="D3" s="7"/>
      <c r="E3" s="12"/>
      <c r="F3" s="12"/>
      <c r="G3" s="12"/>
      <c r="H3" s="12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7"/>
      <c r="B4" s="7"/>
      <c r="C4" s="7"/>
      <c r="D4" s="7"/>
      <c r="E4" s="12"/>
      <c r="F4" s="12"/>
      <c r="G4" s="12"/>
      <c r="H4" s="12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58" t="s">
        <v>45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9" t="s">
        <v>46</v>
      </c>
      <c r="B6" s="60"/>
      <c r="C6" s="60"/>
      <c r="D6" s="60"/>
      <c r="E6" s="12"/>
      <c r="F6" s="12"/>
      <c r="G6" s="12"/>
      <c r="H6" s="12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61" t="s">
        <v>47</v>
      </c>
      <c r="B7" s="62"/>
      <c r="C7" s="9"/>
      <c r="D7" s="63"/>
      <c r="E7" s="12"/>
      <c r="F7" s="12"/>
      <c r="G7" s="12"/>
      <c r="H7" s="12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61" t="s">
        <v>48</v>
      </c>
      <c r="B8" s="62"/>
      <c r="C8" s="9"/>
      <c r="D8" s="63"/>
      <c r="E8" s="12"/>
      <c r="F8" s="12"/>
      <c r="G8" s="12"/>
      <c r="H8" s="12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59" t="s">
        <v>49</v>
      </c>
      <c r="B9" s="62"/>
      <c r="C9" s="9"/>
      <c r="D9" s="63"/>
      <c r="E9" s="12"/>
      <c r="F9" s="12"/>
      <c r="G9" s="12"/>
      <c r="H9" s="12"/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64" t="s">
        <v>50</v>
      </c>
      <c r="B10" s="7"/>
      <c r="E10" s="12"/>
      <c r="F10" s="12"/>
      <c r="G10" s="12"/>
      <c r="H10" s="12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59" t="s">
        <v>51</v>
      </c>
      <c r="B11" s="62"/>
      <c r="C11" s="9"/>
      <c r="D11" s="63"/>
      <c r="E11" s="12"/>
      <c r="F11" s="12"/>
      <c r="G11" s="12"/>
      <c r="H11" s="12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7"/>
      <c r="B12" s="7"/>
      <c r="C12" s="7"/>
      <c r="D12" s="7"/>
      <c r="E12" s="12"/>
      <c r="F12" s="12"/>
      <c r="G12" s="12"/>
      <c r="H12" s="12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7"/>
      <c r="B13" s="7"/>
      <c r="C13" s="7"/>
      <c r="D13" s="7"/>
      <c r="E13" s="12"/>
      <c r="F13" s="12"/>
      <c r="G13" s="12"/>
      <c r="H13" s="12"/>
      <c r="I13" s="4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7"/>
      <c r="B14" s="7"/>
      <c r="C14" s="7"/>
      <c r="D14" s="7"/>
      <c r="E14" s="12"/>
      <c r="F14" s="12"/>
      <c r="G14" s="12"/>
      <c r="H14" s="12"/>
      <c r="I14" s="4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65" t="s">
        <v>52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7"/>
      <c r="B16" s="7"/>
      <c r="C16" s="7"/>
      <c r="D16" s="7"/>
      <c r="E16" s="12"/>
      <c r="F16" s="12"/>
      <c r="G16" s="12"/>
      <c r="H16" s="12"/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66" t="s">
        <v>53</v>
      </c>
      <c r="B17" s="67" t="s">
        <v>54</v>
      </c>
      <c r="C17" s="2"/>
      <c r="D17" s="3"/>
      <c r="E17" s="12"/>
      <c r="F17" s="12"/>
      <c r="G17" s="12"/>
      <c r="H17" s="12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68" t="s">
        <v>55</v>
      </c>
      <c r="B18" s="69" t="s">
        <v>56</v>
      </c>
      <c r="C18" s="2"/>
      <c r="D18" s="3"/>
      <c r="E18" s="12"/>
      <c r="F18" s="12"/>
      <c r="G18" s="12"/>
      <c r="H18" s="12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70" t="s">
        <v>57</v>
      </c>
      <c r="B19" s="67" t="s">
        <v>58</v>
      </c>
      <c r="C19" s="2"/>
      <c r="D19" s="3"/>
      <c r="E19" s="12"/>
      <c r="F19" s="12"/>
      <c r="G19" s="12"/>
      <c r="H19" s="12"/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68" t="s">
        <v>59</v>
      </c>
      <c r="B20" s="69" t="s">
        <v>60</v>
      </c>
      <c r="C20" s="2"/>
      <c r="D20" s="3"/>
      <c r="E20" s="12"/>
      <c r="F20" s="12"/>
      <c r="G20" s="12"/>
      <c r="H20" s="12"/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71">
        <v>1.3</v>
      </c>
      <c r="B21" s="72" t="s">
        <v>61</v>
      </c>
      <c r="C21" s="2"/>
      <c r="D21" s="3"/>
      <c r="E21" s="7"/>
      <c r="F21" s="7"/>
      <c r="G21" s="7"/>
      <c r="H21" s="7"/>
      <c r="I21" s="73"/>
      <c r="J21" s="73"/>
      <c r="K21" s="73"/>
      <c r="L21" s="73"/>
      <c r="M21" s="73"/>
      <c r="N21" s="73"/>
      <c r="O21" s="73"/>
      <c r="P21" s="73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74" t="s">
        <v>62</v>
      </c>
      <c r="B22" s="69" t="s">
        <v>63</v>
      </c>
      <c r="C22" s="2"/>
      <c r="D22" s="3"/>
      <c r="E22" s="12"/>
      <c r="F22" s="12"/>
      <c r="G22" s="12"/>
      <c r="H22" s="12"/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70" t="s">
        <v>64</v>
      </c>
      <c r="B23" s="7"/>
      <c r="C23" s="7"/>
      <c r="D23" s="7"/>
      <c r="E23" s="12"/>
      <c r="F23" s="12"/>
      <c r="G23" s="12"/>
      <c r="H23" s="12"/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68" t="s">
        <v>65</v>
      </c>
      <c r="B24" s="7"/>
      <c r="C24" s="7"/>
      <c r="D24" s="7"/>
      <c r="E24" s="12"/>
      <c r="F24" s="12"/>
      <c r="G24" s="12"/>
      <c r="H24" s="12"/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75" t="s">
        <v>66</v>
      </c>
      <c r="B25" s="2"/>
      <c r="C25" s="2"/>
      <c r="D25" s="3"/>
      <c r="E25" s="12"/>
      <c r="F25" s="12"/>
      <c r="G25" s="12"/>
      <c r="H25" s="12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7"/>
      <c r="B26" s="7"/>
      <c r="C26" s="7"/>
      <c r="D26" s="7"/>
      <c r="E26" s="12"/>
      <c r="F26" s="12"/>
      <c r="G26" s="12"/>
      <c r="H26" s="12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66" t="s">
        <v>67</v>
      </c>
      <c r="B27" s="67" t="s">
        <v>68</v>
      </c>
      <c r="C27" s="2"/>
      <c r="D27" s="3"/>
      <c r="E27" s="12"/>
      <c r="F27" s="12"/>
      <c r="G27" s="12"/>
      <c r="H27" s="12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68" t="s">
        <v>69</v>
      </c>
      <c r="B28" s="69" t="s">
        <v>70</v>
      </c>
      <c r="C28" s="2"/>
      <c r="D28" s="3"/>
      <c r="E28" s="12"/>
      <c r="F28" s="12"/>
      <c r="G28" s="12"/>
      <c r="H28" s="12"/>
      <c r="I28" s="4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70" t="s">
        <v>71</v>
      </c>
      <c r="B29" s="67" t="s">
        <v>72</v>
      </c>
      <c r="C29" s="2"/>
      <c r="D29" s="3"/>
      <c r="E29" s="12"/>
      <c r="F29" s="12"/>
      <c r="G29" s="12"/>
      <c r="H29" s="12"/>
      <c r="I29" s="4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68" t="s">
        <v>73</v>
      </c>
      <c r="B30" s="69" t="s">
        <v>74</v>
      </c>
      <c r="C30" s="2"/>
      <c r="D30" s="3"/>
      <c r="E30" s="12"/>
      <c r="F30" s="12"/>
      <c r="G30" s="12"/>
      <c r="H30" s="12"/>
      <c r="I30" s="4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64" t="s">
        <v>75</v>
      </c>
      <c r="B31" s="76" t="s">
        <v>76</v>
      </c>
      <c r="C31" s="2"/>
      <c r="D31" s="3"/>
      <c r="E31" s="12"/>
      <c r="F31" s="12"/>
      <c r="G31" s="12"/>
      <c r="H31" s="12"/>
      <c r="I31" s="4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74" t="s">
        <v>77</v>
      </c>
      <c r="B32" s="7"/>
      <c r="C32" s="7"/>
      <c r="D32" s="7"/>
      <c r="E32" s="12"/>
      <c r="F32" s="12"/>
      <c r="G32" s="12"/>
      <c r="H32" s="12"/>
      <c r="I32" s="4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70" t="s">
        <v>78</v>
      </c>
      <c r="B33" s="7"/>
      <c r="C33" s="7"/>
      <c r="D33" s="7"/>
      <c r="E33" s="12"/>
      <c r="F33" s="12"/>
      <c r="G33" s="12"/>
      <c r="H33" s="12"/>
      <c r="I33" s="4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7"/>
      <c r="B34" s="7"/>
      <c r="C34" s="7"/>
      <c r="D34" s="7"/>
      <c r="E34" s="12"/>
      <c r="F34" s="12"/>
      <c r="G34" s="12"/>
      <c r="H34" s="12"/>
      <c r="I34" s="4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65" t="s">
        <v>79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0" customHeight="1">
      <c r="A36" s="7"/>
      <c r="B36" s="7"/>
      <c r="C36" s="7"/>
      <c r="D36" s="7"/>
      <c r="E36" s="12"/>
      <c r="F36" s="12"/>
      <c r="G36" s="12"/>
      <c r="H36" s="12"/>
      <c r="I36" s="4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66" t="s">
        <v>80</v>
      </c>
      <c r="B37" s="67" t="s">
        <v>81</v>
      </c>
      <c r="C37" s="2"/>
      <c r="D37" s="3"/>
      <c r="E37" s="12"/>
      <c r="F37" s="12"/>
      <c r="G37" s="12"/>
      <c r="H37" s="12"/>
      <c r="I37" s="4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68" t="s">
        <v>82</v>
      </c>
      <c r="B38" s="69" t="s">
        <v>83</v>
      </c>
      <c r="C38" s="2"/>
      <c r="D38" s="3"/>
      <c r="E38" s="12"/>
      <c r="F38" s="12"/>
      <c r="G38" s="12"/>
      <c r="H38" s="12"/>
      <c r="I38" s="4"/>
      <c r="J38" s="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70" t="s">
        <v>84</v>
      </c>
      <c r="B39" s="67" t="s">
        <v>85</v>
      </c>
      <c r="C39" s="2"/>
      <c r="D39" s="3"/>
      <c r="E39" s="12"/>
      <c r="F39" s="12"/>
      <c r="G39" s="12"/>
      <c r="H39" s="12"/>
      <c r="I39" s="4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68" t="s">
        <v>86</v>
      </c>
      <c r="B40" s="69" t="s">
        <v>87</v>
      </c>
      <c r="C40" s="2"/>
      <c r="D40" s="3"/>
      <c r="E40" s="12"/>
      <c r="F40" s="12"/>
      <c r="G40" s="12"/>
      <c r="H40" s="12"/>
      <c r="I40" s="4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64" t="s">
        <v>88</v>
      </c>
      <c r="B41" s="76" t="s">
        <v>89</v>
      </c>
      <c r="C41" s="2"/>
      <c r="D41" s="3"/>
      <c r="E41" s="7"/>
      <c r="F41" s="7"/>
      <c r="G41" s="7"/>
      <c r="H41" s="7"/>
      <c r="I41" s="73"/>
      <c r="J41" s="73"/>
      <c r="K41" s="73"/>
      <c r="L41" s="73"/>
      <c r="M41" s="73"/>
      <c r="N41" s="73"/>
      <c r="O41" s="73"/>
      <c r="P41" s="73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74" t="s">
        <v>90</v>
      </c>
      <c r="B42" s="7"/>
      <c r="C42" s="7"/>
      <c r="D42" s="7"/>
      <c r="E42" s="12"/>
      <c r="F42" s="12"/>
      <c r="G42" s="12"/>
      <c r="H42" s="12"/>
      <c r="I42" s="4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70" t="s">
        <v>91</v>
      </c>
      <c r="B43" s="7"/>
      <c r="C43" s="7"/>
      <c r="D43" s="7"/>
      <c r="E43" s="12"/>
      <c r="F43" s="12"/>
      <c r="G43" s="12"/>
      <c r="H43" s="12"/>
      <c r="I43" s="4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68" t="s">
        <v>92</v>
      </c>
      <c r="B44" s="7"/>
      <c r="C44" s="7"/>
      <c r="D44" s="7"/>
      <c r="E44" s="12"/>
      <c r="F44" s="12"/>
      <c r="G44" s="12"/>
      <c r="H44" s="12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77" t="s">
        <v>93</v>
      </c>
      <c r="B45" s="2"/>
      <c r="C45" s="2"/>
      <c r="D45" s="3"/>
      <c r="E45" s="12"/>
      <c r="F45" s="12"/>
      <c r="G45" s="12"/>
      <c r="H45" s="12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7"/>
      <c r="B46" s="7"/>
      <c r="C46" s="7"/>
      <c r="D46" s="7"/>
      <c r="E46" s="12"/>
      <c r="F46" s="12"/>
      <c r="G46" s="12"/>
      <c r="H46" s="12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61" t="s">
        <v>94</v>
      </c>
      <c r="B47" s="76" t="s">
        <v>95</v>
      </c>
      <c r="C47" s="2"/>
      <c r="D47" s="3"/>
      <c r="E47" s="12"/>
      <c r="F47" s="12"/>
      <c r="G47" s="12"/>
      <c r="H47" s="12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78" t="s">
        <v>96</v>
      </c>
      <c r="B48" s="69" t="s">
        <v>97</v>
      </c>
      <c r="C48" s="2"/>
      <c r="D48" s="3"/>
      <c r="E48" s="12"/>
      <c r="F48" s="12"/>
      <c r="G48" s="12"/>
      <c r="H48" s="12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70" t="s">
        <v>98</v>
      </c>
      <c r="B49" s="67" t="s">
        <v>99</v>
      </c>
      <c r="C49" s="2"/>
      <c r="D49" s="3"/>
      <c r="E49" s="12"/>
      <c r="F49" s="12"/>
      <c r="G49" s="12"/>
      <c r="H49" s="12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68" t="s">
        <v>100</v>
      </c>
      <c r="B50" s="69" t="s">
        <v>101</v>
      </c>
      <c r="C50" s="2"/>
      <c r="D50" s="3"/>
      <c r="E50" s="12"/>
      <c r="F50" s="12"/>
      <c r="G50" s="12"/>
      <c r="H50" s="12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79" t="s">
        <v>102</v>
      </c>
      <c r="B51" s="80" t="s">
        <v>103</v>
      </c>
      <c r="C51" s="2"/>
      <c r="D51" s="3"/>
      <c r="E51" s="12"/>
      <c r="F51" s="12"/>
      <c r="G51" s="12"/>
      <c r="H51" s="12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81" t="s">
        <v>104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7"/>
      <c r="B53" s="7"/>
      <c r="C53" s="7"/>
      <c r="D53" s="7"/>
      <c r="E53" s="12"/>
      <c r="F53" s="12"/>
      <c r="G53" s="12"/>
      <c r="H53" s="12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78" t="s">
        <v>105</v>
      </c>
      <c r="B54" s="7"/>
      <c r="C54" s="7"/>
      <c r="D54" s="7"/>
      <c r="E54" s="12"/>
      <c r="F54" s="12"/>
      <c r="G54" s="12"/>
      <c r="H54" s="12"/>
      <c r="I54" s="4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82" t="s">
        <v>106</v>
      </c>
      <c r="B55" s="2"/>
      <c r="C55" s="2"/>
      <c r="D55" s="3"/>
      <c r="E55" s="12"/>
      <c r="F55" s="12"/>
      <c r="G55" s="12"/>
      <c r="H55" s="12"/>
      <c r="I55" s="4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83" t="s">
        <v>107</v>
      </c>
      <c r="B56" s="7"/>
      <c r="C56" s="7"/>
      <c r="D56" s="7"/>
      <c r="E56" s="12"/>
      <c r="F56" s="12"/>
      <c r="G56" s="12"/>
      <c r="H56" s="12"/>
      <c r="I56" s="4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84" t="s">
        <v>108</v>
      </c>
      <c r="B57" s="80" t="s">
        <v>109</v>
      </c>
      <c r="C57" s="2"/>
      <c r="D57" s="3"/>
      <c r="E57" s="12"/>
      <c r="F57" s="12"/>
      <c r="G57" s="12"/>
      <c r="H57" s="12"/>
      <c r="I57" s="4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83" t="s">
        <v>110</v>
      </c>
      <c r="B58" s="85" t="s">
        <v>111</v>
      </c>
      <c r="C58" s="2"/>
      <c r="D58" s="3"/>
      <c r="E58" s="12"/>
      <c r="F58" s="12"/>
      <c r="G58" s="12"/>
      <c r="H58" s="12"/>
      <c r="I58" s="4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86" t="s">
        <v>112</v>
      </c>
      <c r="B59" s="80" t="s">
        <v>113</v>
      </c>
      <c r="C59" s="2"/>
      <c r="D59" s="3"/>
      <c r="E59" s="12"/>
      <c r="F59" s="12"/>
      <c r="G59" s="12"/>
      <c r="H59" s="12"/>
      <c r="I59" s="4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78" t="s">
        <v>114</v>
      </c>
      <c r="B60" s="85" t="s">
        <v>115</v>
      </c>
      <c r="C60" s="2"/>
      <c r="D60" s="3"/>
      <c r="E60" s="12"/>
      <c r="F60" s="12"/>
      <c r="G60" s="12"/>
      <c r="H60" s="12"/>
      <c r="I60" s="4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84" t="s">
        <v>116</v>
      </c>
      <c r="B61" s="87" t="s">
        <v>117</v>
      </c>
      <c r="C61" s="2"/>
      <c r="D61" s="3"/>
      <c r="E61" s="7"/>
      <c r="F61" s="7"/>
      <c r="G61" s="7"/>
      <c r="H61" s="7"/>
      <c r="I61" s="73"/>
      <c r="J61" s="73"/>
      <c r="K61" s="73"/>
      <c r="L61" s="73"/>
      <c r="M61" s="73"/>
      <c r="N61" s="73"/>
      <c r="O61" s="73"/>
      <c r="P61" s="7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83" t="s">
        <v>118</v>
      </c>
      <c r="B62" s="7"/>
      <c r="C62" s="7"/>
      <c r="D62" s="7"/>
      <c r="E62" s="12"/>
      <c r="F62" s="12"/>
      <c r="G62" s="12"/>
      <c r="H62" s="12"/>
      <c r="I62" s="4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84" t="s">
        <v>119</v>
      </c>
      <c r="B63" s="80" t="s">
        <v>120</v>
      </c>
      <c r="C63" s="2"/>
      <c r="D63" s="3"/>
      <c r="E63" s="12"/>
      <c r="F63" s="12"/>
      <c r="G63" s="12"/>
      <c r="H63" s="12"/>
      <c r="I63" s="4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7"/>
      <c r="B64" s="7"/>
      <c r="C64" s="7"/>
      <c r="D64" s="7"/>
      <c r="E64" s="12"/>
      <c r="F64" s="12"/>
      <c r="G64" s="12"/>
      <c r="H64" s="12"/>
      <c r="I64" s="4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65" t="s">
        <v>121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7"/>
      <c r="B66" s="7"/>
      <c r="C66" s="7"/>
      <c r="D66" s="7"/>
      <c r="E66" s="12"/>
      <c r="F66" s="12"/>
      <c r="G66" s="12"/>
      <c r="H66" s="12"/>
      <c r="I66" s="4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88" t="s">
        <v>122</v>
      </c>
      <c r="B67" s="89" t="s">
        <v>123</v>
      </c>
      <c r="C67" s="2"/>
      <c r="D67" s="3"/>
      <c r="E67" s="12"/>
      <c r="F67" s="12"/>
      <c r="G67" s="12"/>
      <c r="H67" s="12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83" t="s">
        <v>124</v>
      </c>
      <c r="B68" s="7"/>
      <c r="C68" s="7"/>
      <c r="D68" s="7"/>
      <c r="E68" s="7"/>
      <c r="F68" s="7"/>
      <c r="G68" s="7"/>
      <c r="H68" s="7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6.5" customHeight="1">
      <c r="A69" s="84" t="s">
        <v>125</v>
      </c>
      <c r="B69" s="7"/>
      <c r="C69" s="7"/>
      <c r="D69" s="7"/>
      <c r="E69" s="7"/>
      <c r="F69" s="7"/>
      <c r="G69" s="7"/>
      <c r="H69" s="7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6.5" customHeight="1">
      <c r="A70" s="90" t="s">
        <v>126</v>
      </c>
      <c r="B70" s="2"/>
      <c r="C70" s="2"/>
      <c r="D70" s="3"/>
      <c r="E70" s="7"/>
      <c r="F70" s="7"/>
      <c r="G70" s="7"/>
      <c r="H70" s="7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6.5" customHeight="1">
      <c r="A71" s="84" t="s">
        <v>127</v>
      </c>
      <c r="B71" s="7"/>
      <c r="C71" s="7"/>
      <c r="D71" s="7"/>
      <c r="E71" s="7"/>
      <c r="F71" s="7"/>
      <c r="G71" s="7"/>
      <c r="H71" s="7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8.75" customHeight="1">
      <c r="A72" s="91">
        <v>5.1</v>
      </c>
      <c r="B72" s="92" t="s">
        <v>128</v>
      </c>
      <c r="C72" s="2"/>
      <c r="D72" s="3"/>
      <c r="E72" s="7"/>
      <c r="F72" s="7"/>
      <c r="G72" s="7"/>
      <c r="H72" s="7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8.75" customHeight="1">
      <c r="A73" s="93" t="s">
        <v>129</v>
      </c>
      <c r="B73" s="94" t="s">
        <v>130</v>
      </c>
      <c r="C73" s="2"/>
      <c r="D73" s="3"/>
      <c r="E73" s="7"/>
      <c r="F73" s="7"/>
      <c r="G73" s="7"/>
      <c r="H73" s="7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6.5" customHeight="1">
      <c r="A74" s="83" t="s">
        <v>131</v>
      </c>
      <c r="B74" s="7"/>
      <c r="C74" s="7"/>
      <c r="D74" s="7"/>
      <c r="E74" s="12"/>
      <c r="F74" s="12"/>
      <c r="G74" s="12"/>
      <c r="H74" s="12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84" t="s">
        <v>132</v>
      </c>
      <c r="B75" s="7"/>
      <c r="C75" s="7"/>
      <c r="D75" s="7"/>
      <c r="E75" s="12"/>
      <c r="F75" s="12"/>
      <c r="G75" s="12"/>
      <c r="H75" s="12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7"/>
      <c r="B76" s="7"/>
      <c r="C76" s="7"/>
      <c r="D76" s="7"/>
      <c r="E76" s="12"/>
      <c r="F76" s="12"/>
      <c r="G76" s="12"/>
      <c r="H76" s="12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76" t="s">
        <v>133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7"/>
      <c r="B78" s="7"/>
      <c r="C78" s="7"/>
      <c r="D78" s="7"/>
      <c r="E78" s="12"/>
      <c r="F78" s="12"/>
      <c r="G78" s="12"/>
      <c r="H78" s="12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95" t="s">
        <v>134</v>
      </c>
      <c r="B79" s="7"/>
      <c r="C79" s="7"/>
      <c r="D79" s="7"/>
      <c r="E79" s="12"/>
      <c r="F79" s="12"/>
      <c r="G79" s="12"/>
      <c r="H79" s="12"/>
      <c r="I79" s="4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96" t="s">
        <v>135</v>
      </c>
      <c r="B80" s="7"/>
      <c r="C80" s="7"/>
      <c r="D80" s="7"/>
      <c r="E80" s="12"/>
      <c r="F80" s="12"/>
      <c r="G80" s="12"/>
      <c r="H80" s="12"/>
      <c r="I80" s="4"/>
      <c r="J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96" t="s">
        <v>136</v>
      </c>
      <c r="B81" s="7"/>
      <c r="C81" s="7"/>
      <c r="D81" s="7"/>
      <c r="E81" s="7"/>
      <c r="F81" s="7"/>
      <c r="G81" s="7"/>
      <c r="H81" s="7"/>
      <c r="I81" s="73"/>
      <c r="J81" s="73"/>
      <c r="K81" s="73"/>
      <c r="L81" s="73"/>
      <c r="M81" s="73"/>
      <c r="N81" s="73"/>
      <c r="O81" s="73"/>
      <c r="P81" s="7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97" t="s">
        <v>137</v>
      </c>
      <c r="B82" s="7"/>
      <c r="C82" s="7"/>
      <c r="D82" s="7"/>
      <c r="E82" s="12"/>
      <c r="F82" s="12"/>
      <c r="G82" s="12"/>
      <c r="H82" s="12"/>
      <c r="I82" s="4"/>
      <c r="J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7"/>
      <c r="B83" s="7"/>
      <c r="C83" s="7"/>
      <c r="D83" s="7"/>
      <c r="E83" s="12"/>
      <c r="F83" s="12"/>
      <c r="G83" s="12"/>
      <c r="H83" s="12"/>
      <c r="I83" s="4"/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95" t="s">
        <v>138</v>
      </c>
      <c r="B84" s="7"/>
      <c r="C84" s="7"/>
      <c r="D84" s="7"/>
      <c r="E84" s="12"/>
      <c r="F84" s="12"/>
      <c r="G84" s="12"/>
      <c r="H84" s="12"/>
      <c r="I84" s="4"/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96" t="s">
        <v>139</v>
      </c>
      <c r="B85" s="7"/>
      <c r="C85" s="7"/>
      <c r="D85" s="7"/>
      <c r="E85" s="12"/>
      <c r="F85" s="12"/>
      <c r="G85" s="12"/>
      <c r="H85" s="12"/>
      <c r="I85" s="4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96" t="s">
        <v>140</v>
      </c>
      <c r="B86" s="7"/>
      <c r="C86" s="7"/>
      <c r="D86" s="7"/>
      <c r="E86" s="12"/>
      <c r="F86" s="12"/>
      <c r="G86" s="12"/>
      <c r="H86" s="12"/>
      <c r="I86" s="4"/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96" t="s">
        <v>141</v>
      </c>
      <c r="B87" s="7"/>
      <c r="C87" s="7"/>
      <c r="D87" s="7"/>
      <c r="E87" s="12"/>
      <c r="F87" s="12"/>
      <c r="G87" s="12"/>
      <c r="H87" s="12"/>
      <c r="I87" s="4"/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96" t="s">
        <v>142</v>
      </c>
      <c r="B88" s="7"/>
      <c r="C88" s="7"/>
      <c r="D88" s="7"/>
      <c r="E88" s="12"/>
      <c r="F88" s="12"/>
      <c r="G88" s="12"/>
      <c r="H88" s="12"/>
      <c r="I88" s="4"/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96" t="s">
        <v>143</v>
      </c>
      <c r="B89" s="7"/>
      <c r="C89" s="7"/>
      <c r="D89" s="7"/>
      <c r="E89" s="12"/>
      <c r="F89" s="12"/>
      <c r="G89" s="12"/>
      <c r="H89" s="12"/>
      <c r="I89" s="4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96" t="s">
        <v>144</v>
      </c>
      <c r="B90" s="7"/>
      <c r="C90" s="7"/>
      <c r="D90" s="7"/>
      <c r="E90" s="12"/>
      <c r="F90" s="12"/>
      <c r="G90" s="12"/>
      <c r="H90" s="12"/>
      <c r="I90" s="4"/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98" t="s">
        <v>145</v>
      </c>
      <c r="D91" s="99"/>
      <c r="E91" s="7"/>
      <c r="F91" s="7"/>
      <c r="G91" s="7"/>
      <c r="H91" s="7"/>
      <c r="I91" s="100"/>
      <c r="J91" s="10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0" customHeight="1">
      <c r="A92" s="98" t="s">
        <v>146</v>
      </c>
      <c r="D92" s="34"/>
      <c r="E92" s="7"/>
      <c r="F92" s="7"/>
      <c r="G92" s="7"/>
      <c r="H92" s="7"/>
      <c r="I92" s="100"/>
      <c r="J92" s="10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0" customHeight="1">
      <c r="A93" s="101"/>
      <c r="D93" s="34"/>
      <c r="E93" s="7"/>
      <c r="F93" s="7"/>
      <c r="G93" s="7"/>
      <c r="H93" s="7"/>
      <c r="I93" s="100"/>
      <c r="J93" s="10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0" customHeight="1">
      <c r="A94" s="101"/>
      <c r="D94" s="34"/>
      <c r="E94" s="7"/>
      <c r="F94" s="7"/>
      <c r="G94" s="7"/>
      <c r="H94" s="7"/>
      <c r="I94" s="100"/>
      <c r="J94" s="10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0" customHeight="1">
      <c r="A95" s="101"/>
      <c r="D95" s="34"/>
      <c r="E95" s="7"/>
      <c r="F95" s="7"/>
      <c r="G95" s="7"/>
      <c r="H95" s="7"/>
      <c r="I95" s="100"/>
      <c r="J95" s="10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0" customHeight="1">
      <c r="A96" s="101"/>
      <c r="D96" s="34"/>
      <c r="E96" s="7"/>
      <c r="F96" s="7"/>
      <c r="G96" s="7"/>
      <c r="H96" s="7"/>
      <c r="I96" s="100"/>
      <c r="J96" s="10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0" customHeight="1">
      <c r="A97" s="102"/>
      <c r="B97" s="41"/>
      <c r="C97" s="41"/>
      <c r="D97" s="42"/>
      <c r="E97" s="7"/>
      <c r="F97" s="7"/>
      <c r="G97" s="7"/>
      <c r="H97" s="7"/>
      <c r="I97" s="100"/>
      <c r="J97" s="10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6.5" customHeight="1">
      <c r="A98" s="83" t="s">
        <v>147</v>
      </c>
      <c r="B98" s="7"/>
      <c r="C98" s="7"/>
      <c r="D98" s="7"/>
      <c r="E98" s="7"/>
      <c r="F98" s="7"/>
      <c r="G98" s="7"/>
      <c r="H98" s="7"/>
      <c r="I98" s="100"/>
      <c r="J98" s="10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6.5" customHeight="1">
      <c r="A99" s="84" t="s">
        <v>148</v>
      </c>
      <c r="B99" s="7"/>
      <c r="C99" s="7"/>
      <c r="D99" s="7"/>
      <c r="E99" s="12"/>
      <c r="F99" s="12"/>
      <c r="G99" s="12"/>
      <c r="H99" s="12"/>
      <c r="I99" s="4"/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64" t="s">
        <v>149</v>
      </c>
      <c r="B100" s="7"/>
      <c r="C100" s="7"/>
      <c r="D100" s="7"/>
      <c r="E100" s="12"/>
      <c r="F100" s="12"/>
      <c r="G100" s="12"/>
      <c r="H100" s="12"/>
      <c r="I100" s="4"/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84" t="s">
        <v>150</v>
      </c>
      <c r="B101" s="7"/>
      <c r="C101" s="7"/>
      <c r="D101" s="7"/>
      <c r="E101" s="7"/>
      <c r="F101" s="7"/>
      <c r="G101" s="7"/>
      <c r="H101" s="7"/>
      <c r="I101" s="73"/>
      <c r="J101" s="73"/>
      <c r="K101" s="73"/>
      <c r="L101" s="73"/>
      <c r="M101" s="73"/>
      <c r="N101" s="73"/>
      <c r="O101" s="73"/>
      <c r="P101" s="7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103" t="s">
        <v>151</v>
      </c>
      <c r="B102" s="7"/>
      <c r="C102" s="7"/>
      <c r="D102" s="7"/>
      <c r="E102" s="12"/>
      <c r="F102" s="12"/>
      <c r="G102" s="12"/>
      <c r="H102" s="12"/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104" t="s">
        <v>152</v>
      </c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106" t="s">
        <v>153</v>
      </c>
      <c r="B104" s="107" t="s">
        <v>154</v>
      </c>
      <c r="C104" s="7"/>
      <c r="D104" s="7"/>
      <c r="E104" s="12"/>
      <c r="F104" s="12"/>
      <c r="G104" s="12"/>
      <c r="H104" s="12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106" t="s">
        <v>155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108" t="s">
        <v>156</v>
      </c>
      <c r="B106" s="109" t="s">
        <v>157</v>
      </c>
      <c r="C106" s="7"/>
      <c r="D106" s="7"/>
      <c r="E106" s="12"/>
      <c r="F106" s="12"/>
      <c r="G106" s="12"/>
      <c r="H106" s="12"/>
      <c r="I106" s="4"/>
      <c r="J106" s="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6.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6.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0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9.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0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0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0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0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0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9.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0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0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0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0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0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0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0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0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0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0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0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0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9.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0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0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0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0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0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0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9.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0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0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0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0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0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0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0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0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0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0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0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0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0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0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0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0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0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0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0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0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0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0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0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0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0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0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0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0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0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0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0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0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0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0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0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0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0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0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0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0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0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0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0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0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0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0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0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0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0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0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0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0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0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0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0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0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0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0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0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0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0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0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0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0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0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0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0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0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0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0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0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0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0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0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0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0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0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0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0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0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0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0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0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0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0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0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0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0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0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0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0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0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0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0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0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0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0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0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0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0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0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0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0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0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0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0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0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0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0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0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0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0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0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0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0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0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0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0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0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0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0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0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0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0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0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0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0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0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0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0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P1"/>
    <mergeCell ref="A2:D2"/>
    <mergeCell ref="A5:P5"/>
    <mergeCell ref="B7:D7"/>
    <mergeCell ref="B8:D8"/>
    <mergeCell ref="B9:D9"/>
    <mergeCell ref="B10:D10"/>
    <mergeCell ref="B11:D11"/>
    <mergeCell ref="A15:P15"/>
    <mergeCell ref="B17:D17"/>
    <mergeCell ref="B18:D18"/>
    <mergeCell ref="B19:D19"/>
    <mergeCell ref="B20:D20"/>
    <mergeCell ref="B21:D21"/>
    <mergeCell ref="B22:D22"/>
    <mergeCell ref="A25:D25"/>
    <mergeCell ref="B27:D27"/>
    <mergeCell ref="B28:D28"/>
    <mergeCell ref="B29:D29"/>
    <mergeCell ref="B30:D30"/>
    <mergeCell ref="A35:P35"/>
    <mergeCell ref="B47:D47"/>
    <mergeCell ref="B48:D48"/>
    <mergeCell ref="B49:D49"/>
    <mergeCell ref="B50:D50"/>
    <mergeCell ref="B51:D51"/>
    <mergeCell ref="A52:P52"/>
    <mergeCell ref="B31:D31"/>
    <mergeCell ref="B37:D37"/>
    <mergeCell ref="B38:D38"/>
    <mergeCell ref="B39:D39"/>
    <mergeCell ref="B40:D40"/>
    <mergeCell ref="B41:D41"/>
    <mergeCell ref="A45:D45"/>
    <mergeCell ref="B63:D63"/>
    <mergeCell ref="B67:D67"/>
    <mergeCell ref="A70:D70"/>
    <mergeCell ref="B72:D72"/>
    <mergeCell ref="B73:D73"/>
    <mergeCell ref="A91:D91"/>
    <mergeCell ref="A92:D97"/>
    <mergeCell ref="A77:P77"/>
    <mergeCell ref="A105:P105"/>
    <mergeCell ref="A55:D55"/>
    <mergeCell ref="B57:D57"/>
    <mergeCell ref="B58:D58"/>
    <mergeCell ref="B59:D59"/>
    <mergeCell ref="B60:D60"/>
    <mergeCell ref="B61:D61"/>
    <mergeCell ref="A65:P65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8.0"/>
    <col customWidth="1" min="2" max="2" width="25.86"/>
    <col customWidth="1" min="3" max="3" width="14.0"/>
    <col customWidth="1" min="4" max="4" width="24.14"/>
    <col customWidth="1" min="5" max="5" width="63.57"/>
    <col customWidth="1" min="6" max="6" width="15.71"/>
    <col customWidth="1" min="7" max="7" width="17.29"/>
    <col customWidth="1" min="8" max="9" width="9.57"/>
    <col customWidth="1" min="10" max="10" width="13.71"/>
    <col customWidth="1" min="11" max="11" width="22.29"/>
    <col customWidth="1" min="12" max="12" width="158.57"/>
    <col customWidth="1" min="13" max="32" width="2.0"/>
  </cols>
  <sheetData>
    <row r="1">
      <c r="A1" s="56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1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</row>
    <row r="2">
      <c r="A2" s="111" t="s">
        <v>159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1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5"/>
    </row>
    <row r="3">
      <c r="A3" s="113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1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</row>
    <row r="4">
      <c r="A4" s="115" t="s">
        <v>155</v>
      </c>
      <c r="B4" s="116">
        <f>TODAY()</f>
        <v>45992</v>
      </c>
      <c r="C4" s="7"/>
      <c r="D4" s="7"/>
      <c r="E4" s="7"/>
      <c r="F4" s="7"/>
      <c r="G4" s="7"/>
      <c r="H4" s="7"/>
      <c r="I4" s="7"/>
      <c r="J4" s="7"/>
      <c r="K4" s="7"/>
      <c r="L4" s="7"/>
      <c r="M4" s="11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5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11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</row>
    <row r="6">
      <c r="A6" s="117" t="s">
        <v>160</v>
      </c>
      <c r="B6" s="117" t="s">
        <v>161</v>
      </c>
      <c r="C6" s="117" t="s">
        <v>162</v>
      </c>
      <c r="D6" s="117" t="s">
        <v>163</v>
      </c>
      <c r="E6" s="117" t="s">
        <v>164</v>
      </c>
      <c r="F6" s="117" t="s">
        <v>165</v>
      </c>
      <c r="G6" s="117" t="s">
        <v>166</v>
      </c>
      <c r="H6" s="117" t="s">
        <v>167</v>
      </c>
      <c r="I6" s="117" t="s">
        <v>168</v>
      </c>
      <c r="J6" s="117" t="s">
        <v>169</v>
      </c>
      <c r="K6" s="117" t="s">
        <v>170</v>
      </c>
      <c r="L6" s="117" t="s">
        <v>171</v>
      </c>
      <c r="M6" s="118"/>
      <c r="N6" s="119"/>
      <c r="O6" s="119"/>
      <c r="P6" s="119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5"/>
    </row>
    <row r="7">
      <c r="A7" s="120" t="s">
        <v>172</v>
      </c>
      <c r="B7" s="120" t="s">
        <v>173</v>
      </c>
      <c r="C7" s="120" t="s">
        <v>174</v>
      </c>
      <c r="D7" s="120" t="s">
        <v>175</v>
      </c>
      <c r="E7" s="120" t="s">
        <v>176</v>
      </c>
      <c r="F7" s="120" t="s">
        <v>177</v>
      </c>
      <c r="G7" s="120" t="s">
        <v>178</v>
      </c>
      <c r="H7" s="121" t="s">
        <v>18</v>
      </c>
      <c r="I7" s="122"/>
      <c r="J7" s="122">
        <v>2.3</v>
      </c>
      <c r="K7" s="120" t="s">
        <v>179</v>
      </c>
      <c r="L7" s="120" t="s">
        <v>180</v>
      </c>
      <c r="M7" s="123"/>
      <c r="N7" s="124"/>
      <c r="O7" s="124"/>
      <c r="P7" s="12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5"/>
    </row>
    <row r="8">
      <c r="A8" s="125" t="s">
        <v>181</v>
      </c>
      <c r="B8" s="125" t="s">
        <v>182</v>
      </c>
      <c r="C8" s="125" t="s">
        <v>183</v>
      </c>
      <c r="D8" s="125" t="s">
        <v>184</v>
      </c>
      <c r="E8" s="125" t="s">
        <v>185</v>
      </c>
      <c r="F8" s="125" t="s">
        <v>186</v>
      </c>
      <c r="G8" s="125" t="s">
        <v>187</v>
      </c>
      <c r="H8" s="126" t="s">
        <v>19</v>
      </c>
      <c r="I8" s="127"/>
      <c r="J8" s="127">
        <v>3.1</v>
      </c>
      <c r="K8" s="125" t="s">
        <v>188</v>
      </c>
      <c r="L8" s="125" t="s">
        <v>189</v>
      </c>
      <c r="M8" s="128"/>
      <c r="N8" s="124"/>
      <c r="O8" s="124"/>
      <c r="P8" s="12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5"/>
    </row>
    <row r="9">
      <c r="A9" s="120" t="s">
        <v>190</v>
      </c>
      <c r="B9" s="120" t="s">
        <v>191</v>
      </c>
      <c r="C9" s="120" t="s">
        <v>192</v>
      </c>
      <c r="D9" s="120" t="s">
        <v>193</v>
      </c>
      <c r="E9" s="120" t="s">
        <v>194</v>
      </c>
      <c r="F9" s="120" t="s">
        <v>195</v>
      </c>
      <c r="G9" s="120" t="s">
        <v>196</v>
      </c>
      <c r="H9" s="126" t="s">
        <v>19</v>
      </c>
      <c r="I9" s="122"/>
      <c r="J9" s="122">
        <v>2.8</v>
      </c>
      <c r="K9" s="120" t="s">
        <v>197</v>
      </c>
      <c r="L9" s="120" t="s">
        <v>198</v>
      </c>
      <c r="M9" s="129"/>
      <c r="N9" s="124"/>
      <c r="O9" s="124"/>
      <c r="P9" s="12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5"/>
    </row>
    <row r="10">
      <c r="A10" s="125" t="s">
        <v>199</v>
      </c>
      <c r="B10" s="125" t="s">
        <v>200</v>
      </c>
      <c r="C10" s="125" t="s">
        <v>201</v>
      </c>
      <c r="D10" s="125" t="s">
        <v>202</v>
      </c>
      <c r="E10" s="125" t="s">
        <v>203</v>
      </c>
      <c r="F10" s="125" t="s">
        <v>204</v>
      </c>
      <c r="G10" s="125" t="s">
        <v>205</v>
      </c>
      <c r="H10" s="130" t="s">
        <v>206</v>
      </c>
      <c r="I10" s="127"/>
      <c r="J10" s="127">
        <v>4.2</v>
      </c>
      <c r="K10" s="125" t="s">
        <v>207</v>
      </c>
      <c r="L10" s="125" t="s">
        <v>208</v>
      </c>
      <c r="M10" s="129"/>
      <c r="N10" s="124"/>
      <c r="O10" s="124"/>
      <c r="P10" s="12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5"/>
    </row>
    <row r="11">
      <c r="A11" s="120" t="s">
        <v>209</v>
      </c>
      <c r="B11" s="120" t="s">
        <v>210</v>
      </c>
      <c r="C11" s="120" t="s">
        <v>211</v>
      </c>
      <c r="D11" s="120" t="s">
        <v>212</v>
      </c>
      <c r="E11" s="120" t="s">
        <v>213</v>
      </c>
      <c r="F11" s="120" t="s">
        <v>177</v>
      </c>
      <c r="G11" s="120" t="s">
        <v>214</v>
      </c>
      <c r="H11" s="130" t="s">
        <v>206</v>
      </c>
      <c r="I11" s="122"/>
      <c r="J11" s="122">
        <v>3.5</v>
      </c>
      <c r="K11" s="120" t="s">
        <v>188</v>
      </c>
      <c r="L11" s="120" t="s">
        <v>215</v>
      </c>
      <c r="M11" s="129"/>
      <c r="N11" s="124"/>
      <c r="O11" s="124"/>
      <c r="P11" s="12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</row>
    <row r="12">
      <c r="A12" s="125" t="s">
        <v>216</v>
      </c>
      <c r="B12" s="125" t="s">
        <v>217</v>
      </c>
      <c r="C12" s="125" t="s">
        <v>218</v>
      </c>
      <c r="D12" s="125" t="s">
        <v>219</v>
      </c>
      <c r="E12" s="125" t="s">
        <v>220</v>
      </c>
      <c r="F12" s="125" t="s">
        <v>177</v>
      </c>
      <c r="G12" s="125" t="s">
        <v>221</v>
      </c>
      <c r="H12" s="130" t="s">
        <v>206</v>
      </c>
      <c r="I12" s="127"/>
      <c r="J12" s="127">
        <v>0.0</v>
      </c>
      <c r="K12" s="125" t="s">
        <v>222</v>
      </c>
      <c r="L12" s="125" t="s">
        <v>223</v>
      </c>
      <c r="M12" s="13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13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</row>
    <row r="14">
      <c r="A14" s="45" t="s">
        <v>224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13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</row>
    <row r="16">
      <c r="A16" s="39" t="s">
        <v>225</v>
      </c>
      <c r="B16" s="39" t="str">
        <f>COUNTA(B7:B12)&amp;"社"</f>
        <v>6社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</row>
    <row r="17">
      <c r="A17" s="134" t="s">
        <v>226</v>
      </c>
      <c r="B17" s="134" t="str">
        <f>COUNTIF(H7:H1000,"S")&amp;" 社"</f>
        <v>1 社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</row>
    <row r="18">
      <c r="A18" s="39" t="s">
        <v>227</v>
      </c>
      <c r="B18" s="39" t="str">
        <f>COUNTIF(H7:H1000,"A")&amp;" 社"</f>
        <v>2 社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</row>
    <row r="19">
      <c r="A19" s="134" t="s">
        <v>228</v>
      </c>
      <c r="B19" s="134" t="str">
        <f>COUNTIF(H7:H1000,"B")&amp;" 社"</f>
        <v>3 社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</row>
    <row r="20">
      <c r="A20" s="39" t="s">
        <v>169</v>
      </c>
      <c r="B20" s="39" t="str">
        <f>TEXT(AVERAGE(J7:J1000),"0.0")&amp;" 日"</f>
        <v>2.7 日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5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5"/>
    </row>
    <row r="23">
      <c r="A23" s="135" t="s">
        <v>229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5"/>
    </row>
    <row r="24">
      <c r="A24" s="137" t="s">
        <v>230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5"/>
    </row>
    <row r="25">
      <c r="A25" s="138" t="s">
        <v>231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5"/>
    </row>
    <row r="26">
      <c r="A26" s="139" t="s">
        <v>232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5"/>
    </row>
    <row r="27">
      <c r="A27" s="141" t="s">
        <v>233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3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5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3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5"/>
    </row>
    <row r="29">
      <c r="A29" s="143" t="s">
        <v>234</v>
      </c>
      <c r="M29" s="13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5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3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5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7"/>
      <c r="AF31" s="147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7"/>
      <c r="AF32" s="147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7"/>
      <c r="AF35" s="147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7"/>
      <c r="AF36" s="147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7"/>
      <c r="AF37" s="147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7"/>
      <c r="AF38" s="147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7"/>
      <c r="AF39" s="147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7"/>
      <c r="AF40" s="147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5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7"/>
      <c r="AF41" s="147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5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7"/>
      <c r="AF42" s="147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5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7"/>
      <c r="AF43" s="147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5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7"/>
      <c r="AF44" s="147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5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7"/>
      <c r="AF45" s="147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5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7"/>
      <c r="AF46" s="147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5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7"/>
      <c r="AF47" s="147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5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7"/>
      <c r="AF48" s="147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5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7"/>
      <c r="AF49" s="147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</row>
  </sheetData>
  <mergeCells count="8">
    <mergeCell ref="A26:L26"/>
    <mergeCell ref="A27:L27"/>
    <mergeCell ref="A1:L1"/>
    <mergeCell ref="A14:L14"/>
    <mergeCell ref="A23:L23"/>
    <mergeCell ref="A24:L24"/>
    <mergeCell ref="A25:L25"/>
    <mergeCell ref="A29:L29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1.0" topLeftCell="B12" activePane="bottomRight" state="frozen"/>
      <selection activeCell="B1" sqref="B1" pane="topRight"/>
      <selection activeCell="A12" sqref="A12" pane="bottomLeft"/>
      <selection activeCell="B12" sqref="B12" pane="bottomRight"/>
    </sheetView>
  </sheetViews>
  <sheetFormatPr customHeight="1" defaultColWidth="14.43" defaultRowHeight="15.0"/>
  <cols>
    <col customWidth="1" min="1" max="26" width="24.14"/>
  </cols>
  <sheetData>
    <row r="1">
      <c r="A1" s="148" t="s">
        <v>235</v>
      </c>
      <c r="B1" s="9"/>
      <c r="C1" s="9"/>
      <c r="D1" s="9"/>
      <c r="E1" s="9"/>
      <c r="F1" s="9"/>
      <c r="G1" s="9"/>
      <c r="H1" s="63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149" t="s">
        <v>236</v>
      </c>
      <c r="B3" s="28"/>
      <c r="C3" s="28"/>
      <c r="D3" s="28"/>
      <c r="E3" s="28"/>
      <c r="F3" s="28"/>
      <c r="G3" s="28"/>
      <c r="H3" s="1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151"/>
      <c r="B4" s="152"/>
      <c r="C4" s="152"/>
      <c r="D4" s="152"/>
      <c r="E4" s="152"/>
      <c r="F4" s="152"/>
      <c r="G4" s="152"/>
      <c r="H4" s="153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154" t="s">
        <v>237</v>
      </c>
      <c r="B6" s="154" t="s">
        <v>238</v>
      </c>
      <c r="C6" s="154" t="s">
        <v>239</v>
      </c>
      <c r="D6" s="154" t="s">
        <v>240</v>
      </c>
      <c r="E6" s="154" t="s">
        <v>241</v>
      </c>
      <c r="F6" s="154" t="s">
        <v>242</v>
      </c>
      <c r="G6" s="154" t="s">
        <v>243</v>
      </c>
      <c r="H6" s="154" t="s">
        <v>171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155" t="s">
        <v>244</v>
      </c>
      <c r="B7" s="134" t="s">
        <v>245</v>
      </c>
      <c r="C7" s="134" t="s">
        <v>246</v>
      </c>
      <c r="D7" s="134" t="s">
        <v>247</v>
      </c>
      <c r="E7" s="134" t="s">
        <v>248</v>
      </c>
      <c r="F7" s="134" t="s">
        <v>249</v>
      </c>
      <c r="G7" s="156" t="s">
        <v>250</v>
      </c>
      <c r="H7" s="134" t="s">
        <v>251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155" t="s">
        <v>252</v>
      </c>
      <c r="B8" s="134" t="s">
        <v>253</v>
      </c>
      <c r="C8" s="134" t="s">
        <v>254</v>
      </c>
      <c r="D8" s="134" t="s">
        <v>255</v>
      </c>
      <c r="E8" s="134" t="s">
        <v>256</v>
      </c>
      <c r="F8" s="134" t="s">
        <v>257</v>
      </c>
      <c r="G8" s="156" t="s">
        <v>250</v>
      </c>
      <c r="H8" s="134" t="s">
        <v>258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155" t="s">
        <v>259</v>
      </c>
      <c r="B9" s="134" t="s">
        <v>260</v>
      </c>
      <c r="C9" s="134" t="s">
        <v>261</v>
      </c>
      <c r="D9" s="134" t="s">
        <v>262</v>
      </c>
      <c r="E9" s="134" t="s">
        <v>263</v>
      </c>
      <c r="F9" s="134" t="s">
        <v>264</v>
      </c>
      <c r="G9" s="156" t="s">
        <v>250</v>
      </c>
      <c r="H9" s="134" t="s">
        <v>265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155" t="s">
        <v>266</v>
      </c>
      <c r="B10" s="134" t="s">
        <v>267</v>
      </c>
      <c r="C10" s="134" t="s">
        <v>268</v>
      </c>
      <c r="D10" s="134" t="s">
        <v>269</v>
      </c>
      <c r="E10" s="134" t="s">
        <v>270</v>
      </c>
      <c r="F10" s="134" t="s">
        <v>271</v>
      </c>
      <c r="G10" s="156" t="s">
        <v>250</v>
      </c>
      <c r="H10" s="134" t="s">
        <v>272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155" t="s">
        <v>273</v>
      </c>
      <c r="B11" s="134" t="s">
        <v>274</v>
      </c>
      <c r="C11" s="134" t="s">
        <v>275</v>
      </c>
      <c r="D11" s="134" t="s">
        <v>276</v>
      </c>
      <c r="E11" s="134" t="s">
        <v>277</v>
      </c>
      <c r="F11" s="134" t="s">
        <v>278</v>
      </c>
      <c r="G11" s="156" t="s">
        <v>250</v>
      </c>
      <c r="H11" s="134" t="s">
        <v>279</v>
      </c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155" t="s">
        <v>280</v>
      </c>
      <c r="B12" s="134" t="s">
        <v>281</v>
      </c>
      <c r="C12" s="134" t="s">
        <v>282</v>
      </c>
      <c r="D12" s="134" t="s">
        <v>283</v>
      </c>
      <c r="E12" s="134" t="s">
        <v>284</v>
      </c>
      <c r="F12" s="134" t="s">
        <v>285</v>
      </c>
      <c r="G12" s="156" t="s">
        <v>250</v>
      </c>
      <c r="H12" s="134" t="s">
        <v>286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55" t="s">
        <v>287</v>
      </c>
      <c r="B13" s="134" t="s">
        <v>288</v>
      </c>
      <c r="C13" s="134" t="s">
        <v>289</v>
      </c>
      <c r="D13" s="134" t="s">
        <v>290</v>
      </c>
      <c r="E13" s="134" t="s">
        <v>291</v>
      </c>
      <c r="F13" s="134" t="s">
        <v>292</v>
      </c>
      <c r="G13" s="156" t="s">
        <v>250</v>
      </c>
      <c r="H13" s="134" t="s">
        <v>293</v>
      </c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155" t="s">
        <v>294</v>
      </c>
      <c r="B14" s="134" t="s">
        <v>295</v>
      </c>
      <c r="C14" s="134" t="s">
        <v>296</v>
      </c>
      <c r="D14" s="134" t="s">
        <v>297</v>
      </c>
      <c r="E14" s="134" t="s">
        <v>298</v>
      </c>
      <c r="F14" s="134" t="s">
        <v>299</v>
      </c>
      <c r="G14" s="156" t="s">
        <v>250</v>
      </c>
      <c r="H14" s="134" t="s">
        <v>300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157" t="s">
        <v>301</v>
      </c>
      <c r="B16" s="9"/>
      <c r="C16" s="9"/>
      <c r="D16" s="9"/>
      <c r="E16" s="9"/>
      <c r="F16" s="9"/>
      <c r="G16" s="9"/>
      <c r="H16" s="6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mergeCells count="3">
    <mergeCell ref="A1:H1"/>
    <mergeCell ref="A3:H4"/>
    <mergeCell ref="A16:H16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32.14"/>
    <col customWidth="1" min="2" max="2" width="35.14"/>
    <col customWidth="1" min="3" max="4" width="9.57"/>
    <col customWidth="1" min="5" max="5" width="15.86"/>
    <col customWidth="1" min="6" max="6" width="11.57"/>
    <col customWidth="1" min="7" max="26" width="20.29"/>
    <col customWidth="1" min="27" max="28" width="7.0"/>
    <col customWidth="1" min="29" max="48" width="20.29"/>
  </cols>
  <sheetData>
    <row r="1">
      <c r="A1" s="56" t="s">
        <v>302</v>
      </c>
      <c r="B1" s="2"/>
      <c r="C1" s="2"/>
      <c r="D1" s="2"/>
      <c r="E1" s="2"/>
      <c r="F1" s="2"/>
      <c r="G1" s="2"/>
      <c r="H1" s="2"/>
      <c r="I1" s="2"/>
      <c r="J1" s="3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9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1"/>
      <c r="V2" s="4"/>
      <c r="W2" s="4"/>
      <c r="X2" s="4"/>
      <c r="Y2" s="4"/>
      <c r="Z2" s="4"/>
      <c r="AA2" s="4"/>
      <c r="AB2" s="4"/>
      <c r="AC2" s="4"/>
      <c r="AD2" s="4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>
      <c r="A3" s="162" t="s">
        <v>159</v>
      </c>
      <c r="B3" s="7"/>
      <c r="C3" s="7"/>
      <c r="D3" s="7"/>
      <c r="E3" s="7"/>
      <c r="F3" s="7"/>
      <c r="G3" s="7"/>
      <c r="H3" s="7"/>
      <c r="I3" s="7"/>
      <c r="J3" s="7"/>
      <c r="K3" s="163"/>
      <c r="L3" s="163"/>
      <c r="M3" s="163"/>
      <c r="N3" s="163"/>
      <c r="O3" s="164"/>
      <c r="P3" s="165"/>
      <c r="Q3" s="166"/>
      <c r="R3" s="166"/>
      <c r="S3" s="166"/>
      <c r="T3" s="166"/>
      <c r="U3" s="167"/>
      <c r="V3" s="168"/>
      <c r="W3" s="168"/>
      <c r="X3" s="168"/>
      <c r="Y3" s="4"/>
      <c r="Z3" s="4"/>
      <c r="AA3" s="4"/>
      <c r="AB3" s="4"/>
      <c r="AC3" s="4"/>
      <c r="AD3" s="4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>
      <c r="A4" s="169" t="s">
        <v>303</v>
      </c>
      <c r="B4" s="170">
        <f>TODAY()</f>
        <v>45992</v>
      </c>
      <c r="C4" s="7"/>
      <c r="D4" s="7"/>
      <c r="E4" s="7"/>
      <c r="F4" s="7"/>
      <c r="G4" s="7"/>
      <c r="H4" s="7"/>
      <c r="I4" s="7"/>
      <c r="J4" s="7"/>
      <c r="K4" s="171"/>
      <c r="L4" s="171"/>
      <c r="M4" s="171"/>
      <c r="N4" s="171"/>
      <c r="O4" s="172"/>
      <c r="P4" s="173"/>
      <c r="Q4" s="174"/>
      <c r="R4" s="174"/>
      <c r="S4" s="174"/>
      <c r="T4" s="174"/>
      <c r="U4" s="175"/>
      <c r="V4" s="176"/>
      <c r="W4" s="176"/>
      <c r="X4" s="176"/>
      <c r="Y4" s="4"/>
      <c r="Z4" s="4"/>
      <c r="AA4" s="4"/>
      <c r="AB4" s="4"/>
      <c r="AC4" s="4"/>
      <c r="AD4" s="4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171"/>
      <c r="L5" s="171"/>
      <c r="M5" s="171"/>
      <c r="N5" s="171"/>
      <c r="O5" s="172"/>
      <c r="P5" s="173"/>
      <c r="Q5" s="174"/>
      <c r="R5" s="174"/>
      <c r="S5" s="174"/>
      <c r="T5" s="174"/>
      <c r="U5" s="175"/>
      <c r="V5" s="177"/>
      <c r="W5" s="177"/>
      <c r="X5" s="177"/>
      <c r="Y5" s="4"/>
      <c r="Z5" s="4"/>
      <c r="AA5" s="4"/>
      <c r="AB5" s="4"/>
      <c r="AC5" s="4"/>
      <c r="AD5" s="4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>
      <c r="A6" s="178" t="s">
        <v>304</v>
      </c>
      <c r="B6" s="179" t="s">
        <v>305</v>
      </c>
      <c r="C6" s="7"/>
      <c r="D6" s="7"/>
      <c r="E6" s="180"/>
      <c r="F6" s="180"/>
      <c r="G6" s="180"/>
      <c r="H6" s="180"/>
      <c r="I6" s="180"/>
      <c r="J6" s="180"/>
      <c r="K6" s="181"/>
      <c r="L6" s="181"/>
      <c r="M6" s="181"/>
      <c r="N6" s="181"/>
      <c r="O6" s="172"/>
      <c r="P6" s="173"/>
      <c r="Q6" s="174"/>
      <c r="R6" s="174"/>
      <c r="S6" s="174"/>
      <c r="T6" s="174"/>
      <c r="U6" s="175"/>
      <c r="V6" s="176"/>
      <c r="W6" s="176"/>
      <c r="X6" s="176"/>
      <c r="Y6" s="4"/>
      <c r="Z6" s="4"/>
      <c r="AA6" s="4"/>
      <c r="AB6" s="4"/>
      <c r="AC6" s="4"/>
      <c r="AD6" s="4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>
      <c r="A7" s="182" t="s">
        <v>306</v>
      </c>
      <c r="B7" s="183"/>
      <c r="C7" s="183"/>
      <c r="D7" s="183"/>
      <c r="E7" s="183"/>
      <c r="F7" s="183"/>
      <c r="G7" s="183"/>
      <c r="H7" s="183"/>
      <c r="I7" s="183"/>
      <c r="J7" s="184"/>
      <c r="K7" s="171"/>
      <c r="L7" s="171"/>
      <c r="M7" s="171"/>
      <c r="N7" s="171"/>
      <c r="O7" s="172"/>
      <c r="P7" s="173"/>
      <c r="Q7" s="174"/>
      <c r="R7" s="174"/>
      <c r="S7" s="174"/>
      <c r="T7" s="174"/>
      <c r="U7" s="175"/>
      <c r="V7" s="177"/>
      <c r="W7" s="177"/>
      <c r="X7" s="177"/>
      <c r="Y7" s="4"/>
      <c r="Z7" s="4"/>
      <c r="AA7" s="4"/>
      <c r="AB7" s="4"/>
      <c r="AC7" s="4"/>
      <c r="AD7" s="4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171"/>
      <c r="L8" s="171"/>
      <c r="M8" s="171"/>
      <c r="N8" s="171"/>
      <c r="O8" s="185"/>
      <c r="P8" s="186"/>
      <c r="Q8" s="187"/>
      <c r="R8" s="187"/>
      <c r="S8" s="187"/>
      <c r="T8" s="187"/>
      <c r="U8" s="188"/>
      <c r="V8" s="176"/>
      <c r="W8" s="176"/>
      <c r="X8" s="176"/>
      <c r="Y8" s="4"/>
      <c r="Z8" s="4"/>
      <c r="AA8" s="4"/>
      <c r="AB8" s="4"/>
      <c r="AC8" s="4"/>
      <c r="AD8" s="4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>
      <c r="A9" s="117" t="s">
        <v>161</v>
      </c>
      <c r="B9" s="117" t="s">
        <v>307</v>
      </c>
      <c r="C9" s="117" t="s">
        <v>308</v>
      </c>
      <c r="D9" s="117" t="s">
        <v>309</v>
      </c>
      <c r="E9" s="117" t="s">
        <v>310</v>
      </c>
      <c r="F9" s="117" t="s">
        <v>311</v>
      </c>
      <c r="G9" s="7"/>
      <c r="H9" s="7"/>
      <c r="I9" s="7"/>
      <c r="J9" s="7"/>
      <c r="K9" s="171"/>
      <c r="L9" s="171"/>
      <c r="M9" s="171"/>
      <c r="N9" s="171"/>
      <c r="O9" s="172"/>
      <c r="P9" s="173"/>
      <c r="Q9" s="174"/>
      <c r="R9" s="174"/>
      <c r="S9" s="174"/>
      <c r="T9" s="174"/>
      <c r="U9" s="175"/>
      <c r="V9" s="177"/>
      <c r="W9" s="177"/>
      <c r="X9" s="177"/>
      <c r="Y9" s="4"/>
      <c r="Z9" s="4"/>
      <c r="AA9" s="4"/>
      <c r="AB9" s="4"/>
      <c r="AC9" s="4"/>
      <c r="AD9" s="4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>
      <c r="A10" s="134" t="s">
        <v>312</v>
      </c>
      <c r="B10" s="189">
        <v>2150.0</v>
      </c>
      <c r="C10" s="190">
        <f t="shared" ref="C10:C11" si="1">TODAY()</f>
        <v>45992</v>
      </c>
      <c r="D10" s="191">
        <v>3.0</v>
      </c>
      <c r="E10" s="134" t="s">
        <v>313</v>
      </c>
      <c r="F10" s="134">
        <v>1.0</v>
      </c>
      <c r="G10" s="7"/>
      <c r="H10" s="7"/>
      <c r="I10" s="7"/>
      <c r="J10" s="7"/>
      <c r="K10" s="171"/>
      <c r="L10" s="171"/>
      <c r="M10" s="171"/>
      <c r="N10" s="171"/>
      <c r="O10" s="172"/>
      <c r="P10" s="173"/>
      <c r="Q10" s="174"/>
      <c r="R10" s="174"/>
      <c r="S10" s="174"/>
      <c r="T10" s="174"/>
      <c r="U10" s="175"/>
      <c r="V10" s="176"/>
      <c r="W10" s="176"/>
      <c r="X10" s="176"/>
      <c r="Y10" s="4"/>
      <c r="Z10" s="4"/>
      <c r="AA10" s="4" t="b">
        <f t="shared" ref="AA10:AA19" si="2">AND(B10&lt;&gt;"",B10=MAX($B$10:$B$19),MAX($B$10:$B$19)&gt;0)</f>
        <v>1</v>
      </c>
      <c r="AB10" s="4" t="b">
        <f t="shared" ref="AB10:AB19" si="3">AND(B10&lt;&gt;"",B10=MIN($B$10:$B$19),COUNTIF($B$10:$B$19,"&gt;0")&gt;1)</f>
        <v>0</v>
      </c>
      <c r="AC10" s="4"/>
      <c r="AD10" s="4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>
      <c r="A11" s="134" t="s">
        <v>314</v>
      </c>
      <c r="B11" s="192">
        <v>2070.0</v>
      </c>
      <c r="C11" s="190">
        <f t="shared" si="1"/>
        <v>45992</v>
      </c>
      <c r="D11" s="191">
        <v>3.0</v>
      </c>
      <c r="E11" s="134"/>
      <c r="F11" s="134">
        <v>3.0</v>
      </c>
      <c r="G11" s="7"/>
      <c r="H11" s="7"/>
      <c r="I11" s="7"/>
      <c r="J11" s="7"/>
      <c r="K11" s="171"/>
      <c r="L11" s="171"/>
      <c r="M11" s="171"/>
      <c r="N11" s="171"/>
      <c r="O11" s="172"/>
      <c r="P11" s="173"/>
      <c r="Q11" s="174"/>
      <c r="R11" s="174"/>
      <c r="S11" s="174"/>
      <c r="T11" s="174"/>
      <c r="U11" s="175"/>
      <c r="V11" s="177"/>
      <c r="W11" s="177"/>
      <c r="X11" s="177"/>
      <c r="Y11" s="4"/>
      <c r="Z11" s="4"/>
      <c r="AA11" s="4" t="b">
        <f t="shared" si="2"/>
        <v>0</v>
      </c>
      <c r="AB11" s="4" t="b">
        <f t="shared" si="3"/>
        <v>0</v>
      </c>
      <c r="AC11" s="4"/>
      <c r="AD11" s="4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>
      <c r="A12" s="134" t="s">
        <v>315</v>
      </c>
      <c r="B12" s="193">
        <v>0.0</v>
      </c>
      <c r="C12" s="7"/>
      <c r="D12" s="7"/>
      <c r="E12" s="134" t="s">
        <v>316</v>
      </c>
      <c r="F12" s="7"/>
      <c r="G12" s="7"/>
      <c r="H12" s="7"/>
      <c r="I12" s="7"/>
      <c r="J12" s="7"/>
      <c r="K12" s="171"/>
      <c r="L12" s="171"/>
      <c r="M12" s="171"/>
      <c r="N12" s="171"/>
      <c r="O12" s="172"/>
      <c r="P12" s="173"/>
      <c r="Q12" s="174"/>
      <c r="R12" s="174"/>
      <c r="S12" s="174"/>
      <c r="T12" s="174"/>
      <c r="U12" s="175"/>
      <c r="V12" s="176"/>
      <c r="W12" s="176"/>
      <c r="X12" s="176"/>
      <c r="Y12" s="4"/>
      <c r="Z12" s="4"/>
      <c r="AA12" s="4" t="b">
        <f t="shared" si="2"/>
        <v>0</v>
      </c>
      <c r="AB12" s="4" t="b">
        <f t="shared" si="3"/>
        <v>1</v>
      </c>
      <c r="AC12" s="4"/>
      <c r="AD12" s="4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>
      <c r="A13" s="134" t="s">
        <v>317</v>
      </c>
      <c r="B13" s="193">
        <v>0.0</v>
      </c>
      <c r="C13" s="7"/>
      <c r="D13" s="191"/>
      <c r="E13" s="134" t="s">
        <v>316</v>
      </c>
      <c r="F13" s="134">
        <v>2.0</v>
      </c>
      <c r="G13" s="7"/>
      <c r="H13" s="7"/>
      <c r="I13" s="7"/>
      <c r="J13" s="7"/>
      <c r="K13" s="171"/>
      <c r="L13" s="171"/>
      <c r="M13" s="171"/>
      <c r="N13" s="171"/>
      <c r="O13" s="185"/>
      <c r="P13" s="186"/>
      <c r="Q13" s="187"/>
      <c r="R13" s="187"/>
      <c r="S13" s="187"/>
      <c r="T13" s="187"/>
      <c r="U13" s="188"/>
      <c r="V13" s="177"/>
      <c r="W13" s="177"/>
      <c r="X13" s="177"/>
      <c r="Y13" s="4"/>
      <c r="Z13" s="4"/>
      <c r="AA13" s="4" t="b">
        <f t="shared" si="2"/>
        <v>0</v>
      </c>
      <c r="AB13" s="4" t="b">
        <f t="shared" si="3"/>
        <v>1</v>
      </c>
      <c r="AC13" s="4"/>
      <c r="AD13" s="4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>
      <c r="A14" s="134" t="s">
        <v>318</v>
      </c>
      <c r="B14" s="193">
        <v>0.0</v>
      </c>
      <c r="C14" s="7"/>
      <c r="D14" s="191"/>
      <c r="E14" s="134" t="s">
        <v>316</v>
      </c>
      <c r="F14" s="134">
        <v>2.0</v>
      </c>
      <c r="G14" s="7"/>
      <c r="H14" s="7"/>
      <c r="I14" s="7"/>
      <c r="J14" s="7"/>
      <c r="K14" s="171"/>
      <c r="L14" s="171"/>
      <c r="M14" s="171"/>
      <c r="N14" s="171"/>
      <c r="O14" s="172"/>
      <c r="P14" s="173"/>
      <c r="Q14" s="174"/>
      <c r="R14" s="174"/>
      <c r="S14" s="174"/>
      <c r="T14" s="174"/>
      <c r="U14" s="175"/>
      <c r="V14" s="176"/>
      <c r="W14" s="176"/>
      <c r="X14" s="176"/>
      <c r="Y14" s="4"/>
      <c r="Z14" s="4"/>
      <c r="AA14" s="4" t="b">
        <f t="shared" si="2"/>
        <v>0</v>
      </c>
      <c r="AB14" s="4" t="b">
        <f t="shared" si="3"/>
        <v>1</v>
      </c>
      <c r="AC14" s="4"/>
      <c r="AD14" s="4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>
      <c r="A15" s="7"/>
      <c r="B15" s="191"/>
      <c r="C15" s="7"/>
      <c r="D15" s="7"/>
      <c r="E15" s="7"/>
      <c r="F15" s="134" t="str">
        <f t="shared" ref="F15:F20" si="4">IF(B15="","",IF(B15=0,"",COUNTIFS($B$10:$B$29,"&gt;"&amp;B15,$B$10:$B$29,"&lt;&gt;",$B$10:$B$29,"&lt;&gt;0")+1))</f>
        <v/>
      </c>
      <c r="G15" s="7"/>
      <c r="H15" s="7"/>
      <c r="I15" s="7"/>
      <c r="J15" s="7"/>
      <c r="K15" s="171"/>
      <c r="L15" s="171"/>
      <c r="M15" s="171"/>
      <c r="N15" s="171"/>
      <c r="O15" s="172"/>
      <c r="P15" s="173"/>
      <c r="Q15" s="174"/>
      <c r="R15" s="174"/>
      <c r="S15" s="174"/>
      <c r="T15" s="174"/>
      <c r="U15" s="175"/>
      <c r="V15" s="177"/>
      <c r="W15" s="177"/>
      <c r="X15" s="177"/>
      <c r="Y15" s="4"/>
      <c r="Z15" s="4"/>
      <c r="AA15" s="4" t="b">
        <f t="shared" si="2"/>
        <v>0</v>
      </c>
      <c r="AB15" s="4" t="b">
        <f t="shared" si="3"/>
        <v>0</v>
      </c>
      <c r="AC15" s="4"/>
      <c r="AD15" s="4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>
      <c r="A16" s="7"/>
      <c r="B16" s="191"/>
      <c r="C16" s="7"/>
      <c r="D16" s="7"/>
      <c r="E16" s="7"/>
      <c r="F16" s="134" t="str">
        <f t="shared" si="4"/>
        <v/>
      </c>
      <c r="G16" s="7"/>
      <c r="H16" s="7"/>
      <c r="I16" s="7"/>
      <c r="J16" s="7"/>
      <c r="K16" s="171"/>
      <c r="L16" s="171"/>
      <c r="M16" s="171"/>
      <c r="N16" s="171"/>
      <c r="O16" s="172"/>
      <c r="P16" s="173"/>
      <c r="Q16" s="174"/>
      <c r="R16" s="174"/>
      <c r="S16" s="174"/>
      <c r="T16" s="174"/>
      <c r="U16" s="175"/>
      <c r="V16" s="176"/>
      <c r="W16" s="176"/>
      <c r="X16" s="176"/>
      <c r="Y16" s="4"/>
      <c r="Z16" s="4"/>
      <c r="AA16" s="4" t="b">
        <f t="shared" si="2"/>
        <v>0</v>
      </c>
      <c r="AB16" s="4" t="b">
        <f t="shared" si="3"/>
        <v>0</v>
      </c>
      <c r="AC16" s="4"/>
      <c r="AD16" s="4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>
      <c r="A17" s="7"/>
      <c r="B17" s="191"/>
      <c r="C17" s="7"/>
      <c r="D17" s="7"/>
      <c r="E17" s="7"/>
      <c r="F17" s="134" t="str">
        <f t="shared" si="4"/>
        <v/>
      </c>
      <c r="G17" s="7"/>
      <c r="H17" s="7"/>
      <c r="I17" s="7"/>
      <c r="J17" s="7"/>
      <c r="K17" s="171"/>
      <c r="L17" s="171"/>
      <c r="M17" s="171"/>
      <c r="N17" s="171"/>
      <c r="O17" s="172"/>
      <c r="P17" s="173"/>
      <c r="Q17" s="174"/>
      <c r="R17" s="174"/>
      <c r="S17" s="174"/>
      <c r="T17" s="174"/>
      <c r="U17" s="175"/>
      <c r="V17" s="177"/>
      <c r="W17" s="177"/>
      <c r="X17" s="177"/>
      <c r="Y17" s="4"/>
      <c r="Z17" s="4"/>
      <c r="AA17" s="4" t="b">
        <f t="shared" si="2"/>
        <v>0</v>
      </c>
      <c r="AB17" s="4" t="b">
        <f t="shared" si="3"/>
        <v>0</v>
      </c>
      <c r="AC17" s="4"/>
      <c r="AD17" s="4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>
      <c r="A18" s="7"/>
      <c r="B18" s="191"/>
      <c r="C18" s="7"/>
      <c r="D18" s="7"/>
      <c r="E18" s="7"/>
      <c r="F18" s="134" t="str">
        <f t="shared" si="4"/>
        <v/>
      </c>
      <c r="G18" s="7"/>
      <c r="H18" s="7"/>
      <c r="I18" s="7"/>
      <c r="J18" s="7"/>
      <c r="K18" s="171"/>
      <c r="L18" s="171"/>
      <c r="M18" s="171"/>
      <c r="N18" s="171"/>
      <c r="O18" s="185"/>
      <c r="P18" s="186"/>
      <c r="Q18" s="187"/>
      <c r="R18" s="187"/>
      <c r="S18" s="187"/>
      <c r="T18" s="187"/>
      <c r="U18" s="188"/>
      <c r="V18" s="176"/>
      <c r="W18" s="176"/>
      <c r="X18" s="176"/>
      <c r="Y18" s="4"/>
      <c r="Z18" s="4"/>
      <c r="AA18" s="4" t="b">
        <f t="shared" si="2"/>
        <v>0</v>
      </c>
      <c r="AB18" s="4" t="b">
        <f t="shared" si="3"/>
        <v>0</v>
      </c>
      <c r="AC18" s="4"/>
      <c r="AD18" s="4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>
      <c r="A19" s="7"/>
      <c r="B19" s="191"/>
      <c r="C19" s="7"/>
      <c r="D19" s="7"/>
      <c r="E19" s="7"/>
      <c r="F19" s="134" t="str">
        <f t="shared" si="4"/>
        <v/>
      </c>
      <c r="G19" s="7"/>
      <c r="H19" s="7"/>
      <c r="I19" s="7"/>
      <c r="J19" s="7"/>
      <c r="K19" s="171"/>
      <c r="L19" s="171"/>
      <c r="M19" s="171"/>
      <c r="N19" s="171"/>
      <c r="O19" s="172"/>
      <c r="P19" s="173"/>
      <c r="Q19" s="174"/>
      <c r="R19" s="174"/>
      <c r="S19" s="174"/>
      <c r="T19" s="174"/>
      <c r="U19" s="175"/>
      <c r="V19" s="177"/>
      <c r="W19" s="177"/>
      <c r="X19" s="177"/>
      <c r="Y19" s="4"/>
      <c r="Z19" s="4"/>
      <c r="AA19" s="4" t="b">
        <f t="shared" si="2"/>
        <v>0</v>
      </c>
      <c r="AB19" s="4" t="b">
        <f t="shared" si="3"/>
        <v>0</v>
      </c>
      <c r="AC19" s="4"/>
      <c r="AD19" s="4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>
      <c r="A20" s="7"/>
      <c r="B20" s="7"/>
      <c r="C20" s="7"/>
      <c r="D20" s="7"/>
      <c r="E20" s="7"/>
      <c r="F20" s="134" t="str">
        <f t="shared" si="4"/>
        <v/>
      </c>
      <c r="G20" s="7"/>
      <c r="H20" s="7"/>
      <c r="I20" s="7"/>
      <c r="J20" s="7"/>
      <c r="K20" s="171"/>
      <c r="L20" s="171"/>
      <c r="M20" s="171"/>
      <c r="N20" s="171"/>
      <c r="O20" s="172"/>
      <c r="P20" s="173"/>
      <c r="Q20" s="174"/>
      <c r="R20" s="174"/>
      <c r="S20" s="174"/>
      <c r="T20" s="174"/>
      <c r="U20" s="175"/>
      <c r="V20" s="176"/>
      <c r="W20" s="176"/>
      <c r="X20" s="176"/>
      <c r="Y20" s="4"/>
      <c r="Z20" s="4"/>
      <c r="AA20" s="4"/>
      <c r="AB20" s="4"/>
      <c r="AC20" s="4"/>
      <c r="AD20" s="4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>
      <c r="A21" s="194" t="s">
        <v>319</v>
      </c>
      <c r="B21" s="2"/>
      <c r="C21" s="2"/>
      <c r="D21" s="2"/>
      <c r="E21" s="2"/>
      <c r="F21" s="3"/>
      <c r="G21" s="7"/>
      <c r="H21" s="7"/>
      <c r="I21" s="7"/>
      <c r="J21" s="7"/>
      <c r="K21" s="171"/>
      <c r="L21" s="171"/>
      <c r="M21" s="171"/>
      <c r="N21" s="171"/>
      <c r="O21" s="172"/>
      <c r="P21" s="173"/>
      <c r="Q21" s="174"/>
      <c r="R21" s="174"/>
      <c r="S21" s="174"/>
      <c r="T21" s="174"/>
      <c r="U21" s="175"/>
      <c r="V21" s="177"/>
      <c r="W21" s="177"/>
      <c r="X21" s="177"/>
      <c r="Y21" s="4"/>
      <c r="Z21" s="4"/>
      <c r="AA21" s="4"/>
      <c r="AB21" s="4"/>
      <c r="AC21" s="4"/>
      <c r="AD21" s="4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>
      <c r="A22" s="195" t="s">
        <v>320</v>
      </c>
      <c r="B22" s="196"/>
      <c r="C22" s="196"/>
      <c r="D22" s="196"/>
      <c r="E22" s="196"/>
      <c r="F22" s="196"/>
      <c r="G22" s="196"/>
      <c r="H22" s="196"/>
      <c r="I22" s="196"/>
      <c r="J22" s="197"/>
      <c r="K22" s="171"/>
      <c r="L22" s="171"/>
      <c r="M22" s="171"/>
      <c r="N22" s="171"/>
      <c r="O22" s="172"/>
      <c r="P22" s="173"/>
      <c r="Q22" s="174"/>
      <c r="R22" s="174"/>
      <c r="S22" s="174"/>
      <c r="T22" s="174"/>
      <c r="U22" s="175"/>
      <c r="V22" s="176"/>
      <c r="W22" s="176"/>
      <c r="X22" s="176"/>
      <c r="Y22" s="4"/>
      <c r="Z22" s="4"/>
      <c r="AA22" s="4"/>
      <c r="AB22" s="4"/>
      <c r="AC22" s="4"/>
      <c r="AD22" s="4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>
      <c r="A23" s="7"/>
      <c r="B23" s="7"/>
      <c r="C23" s="7"/>
      <c r="D23" s="7"/>
      <c r="E23" s="7"/>
      <c r="F23" s="198" t="str">
        <f t="shared" ref="F23:F29" si="5">IF(B23="","",IF(B23=0,"",COUNTIFS($B$10:$B$29,"&gt;"&amp;B23,$B$10:$B$29,"&lt;&gt;",$B$10:$B$29,"&lt;&gt;0")+1))</f>
        <v/>
      </c>
      <c r="G23" s="7"/>
      <c r="H23" s="7"/>
      <c r="I23" s="7"/>
      <c r="J23" s="7"/>
      <c r="K23" s="171"/>
      <c r="L23" s="171"/>
      <c r="M23" s="171"/>
      <c r="N23" s="171"/>
      <c r="O23" s="185"/>
      <c r="P23" s="186"/>
      <c r="Q23" s="187"/>
      <c r="R23" s="187"/>
      <c r="S23" s="187"/>
      <c r="T23" s="187"/>
      <c r="U23" s="188"/>
      <c r="V23" s="177"/>
      <c r="W23" s="177"/>
      <c r="X23" s="177"/>
      <c r="Y23" s="4"/>
      <c r="Z23" s="4"/>
      <c r="AA23" s="4"/>
      <c r="AB23" s="4"/>
      <c r="AC23" s="4"/>
      <c r="AD23" s="4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>
      <c r="A24" s="199" t="s">
        <v>321</v>
      </c>
      <c r="B24" s="200" t="str">
        <f>COUNTA(A10:A19)&amp;" 社"</f>
        <v>5 社</v>
      </c>
      <c r="C24" s="7"/>
      <c r="D24" s="7"/>
      <c r="E24" s="7"/>
      <c r="F24" s="198">
        <f t="shared" si="5"/>
        <v>2</v>
      </c>
      <c r="G24" s="7"/>
      <c r="H24" s="7"/>
      <c r="I24" s="7"/>
      <c r="J24" s="7"/>
      <c r="K24" s="171"/>
      <c r="L24" s="171"/>
      <c r="M24" s="171"/>
      <c r="N24" s="171"/>
      <c r="O24" s="172"/>
      <c r="P24" s="173"/>
      <c r="Q24" s="174"/>
      <c r="R24" s="174"/>
      <c r="S24" s="174"/>
      <c r="T24" s="174"/>
      <c r="U24" s="175"/>
      <c r="V24" s="176"/>
      <c r="W24" s="176"/>
      <c r="X24" s="176"/>
      <c r="Y24" s="4"/>
      <c r="Z24" s="4"/>
      <c r="AA24" s="4"/>
      <c r="AB24" s="4"/>
      <c r="AC24" s="4"/>
      <c r="AD24" s="4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>
      <c r="A25" s="199" t="s">
        <v>322</v>
      </c>
      <c r="B25" s="201" t="str">
        <f>IF(COUNTIF(B10:B19,"&gt;0")=0,"未入力",TEXT(MAX(IFERROR(VALUE(B10:B19),0)),"#,##0")&amp;"万円")</f>
        <v>0万円</v>
      </c>
      <c r="C25" s="7"/>
      <c r="D25" s="7"/>
      <c r="E25" s="7"/>
      <c r="F25" s="198">
        <f t="shared" si="5"/>
        <v>5</v>
      </c>
      <c r="G25" s="7"/>
      <c r="H25" s="7"/>
      <c r="I25" s="7"/>
      <c r="J25" s="7"/>
      <c r="K25" s="171"/>
      <c r="L25" s="171"/>
      <c r="M25" s="171"/>
      <c r="N25" s="171"/>
      <c r="O25" s="172"/>
      <c r="P25" s="173"/>
      <c r="Q25" s="174"/>
      <c r="R25" s="174"/>
      <c r="S25" s="174"/>
      <c r="T25" s="174"/>
      <c r="U25" s="175"/>
      <c r="V25" s="177"/>
      <c r="W25" s="177"/>
      <c r="X25" s="177"/>
      <c r="Y25" s="4"/>
      <c r="Z25" s="4"/>
      <c r="AA25" s="4"/>
      <c r="AB25" s="4"/>
      <c r="AC25" s="4"/>
      <c r="AD25" s="4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>
      <c r="A26" s="199" t="s">
        <v>323</v>
      </c>
      <c r="B26" s="202" t="str">
        <f>IF(COUNTIF(B10:B19,"&gt;0")=0,"未入力",TEXT(MIN(IF(IFERROR(VALUE(B10:B19),0)&gt;0,IFERROR(VALUE(B10:B19),0),999999)),"#,##0")&amp;"万円")</f>
        <v>999,999万円</v>
      </c>
      <c r="C26" s="7"/>
      <c r="D26" s="7"/>
      <c r="E26" s="7"/>
      <c r="F26" s="198">
        <f t="shared" si="5"/>
        <v>1</v>
      </c>
      <c r="G26" s="7"/>
      <c r="H26" s="7"/>
      <c r="I26" s="7"/>
      <c r="J26" s="7"/>
      <c r="K26" s="171"/>
      <c r="L26" s="171"/>
      <c r="M26" s="171"/>
      <c r="N26" s="171"/>
      <c r="O26" s="172"/>
      <c r="P26" s="173"/>
      <c r="Q26" s="174"/>
      <c r="R26" s="174"/>
      <c r="S26" s="174"/>
      <c r="T26" s="174"/>
      <c r="U26" s="175"/>
      <c r="V26" s="176"/>
      <c r="W26" s="176"/>
      <c r="X26" s="176"/>
      <c r="Y26" s="4"/>
      <c r="Z26" s="4"/>
      <c r="AA26" s="4"/>
      <c r="AB26" s="4"/>
      <c r="AC26" s="4"/>
      <c r="AD26" s="4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>
      <c r="A27" s="199" t="s">
        <v>324</v>
      </c>
      <c r="B27" s="203" t="str">
        <f>IF(COUNTIF(B10:B19,"&gt;0")=0,"未入力",TEXT(AVERAGEIF(B10:B19,"&gt;0"),"#,##0")&amp;"万円")</f>
        <v>2,110万円</v>
      </c>
      <c r="C27" s="7"/>
      <c r="D27" s="7"/>
      <c r="E27" s="7"/>
      <c r="F27" s="198">
        <f t="shared" si="5"/>
        <v>4</v>
      </c>
      <c r="G27" s="7"/>
      <c r="H27" s="7"/>
      <c r="I27" s="7"/>
      <c r="J27" s="7"/>
      <c r="K27" s="171"/>
      <c r="L27" s="171"/>
      <c r="M27" s="171"/>
      <c r="N27" s="171"/>
      <c r="O27" s="172"/>
      <c r="P27" s="173"/>
      <c r="Q27" s="174"/>
      <c r="R27" s="174"/>
      <c r="S27" s="174"/>
      <c r="T27" s="174"/>
      <c r="U27" s="175"/>
      <c r="V27" s="177"/>
      <c r="W27" s="177"/>
      <c r="X27" s="177"/>
      <c r="Y27" s="4"/>
      <c r="Z27" s="4"/>
      <c r="AA27" s="4"/>
      <c r="AB27" s="4"/>
      <c r="AC27" s="4"/>
      <c r="AD27" s="4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>
      <c r="A28" s="199" t="s">
        <v>325</v>
      </c>
      <c r="B28" s="204" t="str">
        <f>IF(COUNT(B10:B19)&lt;2,"未入力",TEXT(AGGREGATE(4,6,B10:B19,1)-AGGREGATE(5,6,B10:B19,1),"#,##0")&amp;"万円")</f>
        <v>#NAME?</v>
      </c>
      <c r="C28" s="7"/>
      <c r="D28" s="7"/>
      <c r="E28" s="7"/>
      <c r="F28" s="198" t="str">
        <f t="shared" si="5"/>
        <v>#NAME?</v>
      </c>
      <c r="G28" s="7"/>
      <c r="H28" s="7"/>
      <c r="I28" s="7"/>
      <c r="J28" s="7"/>
      <c r="K28" s="171"/>
      <c r="L28" s="171"/>
      <c r="M28" s="171"/>
      <c r="N28" s="171"/>
      <c r="O28" s="185"/>
      <c r="P28" s="186"/>
      <c r="Q28" s="187"/>
      <c r="R28" s="187"/>
      <c r="S28" s="187"/>
      <c r="T28" s="187"/>
      <c r="U28" s="188"/>
      <c r="V28" s="176"/>
      <c r="W28" s="176"/>
      <c r="X28" s="176"/>
      <c r="Y28" s="4"/>
      <c r="Z28" s="4"/>
      <c r="AA28" s="4"/>
      <c r="AB28" s="4"/>
      <c r="AC28" s="4"/>
      <c r="AD28" s="4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>
      <c r="A29" s="199" t="s">
        <v>326</v>
      </c>
      <c r="B29" s="203" t="str">
        <f>IF(COUNTA(D10:D19)=0,"未入力",TEXT(AVERAGE(D10:D19),"0.0")&amp;" 日")</f>
        <v>3.0 日</v>
      </c>
      <c r="C29" s="7"/>
      <c r="D29" s="7"/>
      <c r="E29" s="7"/>
      <c r="F29" s="198">
        <f t="shared" si="5"/>
        <v>3</v>
      </c>
      <c r="G29" s="7"/>
      <c r="H29" s="7"/>
      <c r="I29" s="7"/>
      <c r="J29" s="7"/>
      <c r="K29" s="171"/>
      <c r="L29" s="171"/>
      <c r="M29" s="171"/>
      <c r="N29" s="171"/>
      <c r="O29" s="172"/>
      <c r="P29" s="173"/>
      <c r="Q29" s="174"/>
      <c r="R29" s="174"/>
      <c r="S29" s="174"/>
      <c r="T29" s="174"/>
      <c r="U29" s="175"/>
      <c r="V29" s="177"/>
      <c r="W29" s="177"/>
      <c r="X29" s="177"/>
      <c r="Y29" s="4"/>
      <c r="Z29" s="4"/>
      <c r="AA29" s="4"/>
      <c r="AB29" s="4"/>
      <c r="AC29" s="4"/>
      <c r="AD29" s="4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171"/>
      <c r="L30" s="171"/>
      <c r="M30" s="171"/>
      <c r="N30" s="171"/>
      <c r="O30" s="172"/>
      <c r="P30" s="173"/>
      <c r="Q30" s="174"/>
      <c r="R30" s="174"/>
      <c r="S30" s="174"/>
      <c r="T30" s="174"/>
      <c r="U30" s="175"/>
      <c r="V30" s="176"/>
      <c r="W30" s="176"/>
      <c r="X30" s="176"/>
      <c r="Y30" s="4"/>
      <c r="Z30" s="4"/>
      <c r="AA30" s="4"/>
      <c r="AB30" s="4"/>
      <c r="AC30" s="4"/>
      <c r="AD30" s="4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>
      <c r="A31" s="205"/>
      <c r="B31" s="206"/>
      <c r="C31" s="206"/>
      <c r="D31" s="207"/>
      <c r="E31" s="208"/>
      <c r="F31" s="208"/>
      <c r="G31" s="171"/>
      <c r="H31" s="171"/>
      <c r="I31" s="171"/>
      <c r="J31" s="171"/>
      <c r="K31" s="171"/>
      <c r="L31" s="171"/>
      <c r="M31" s="171"/>
      <c r="N31" s="171"/>
      <c r="O31" s="172"/>
      <c r="P31" s="173"/>
      <c r="Q31" s="174"/>
      <c r="R31" s="174"/>
      <c r="S31" s="174"/>
      <c r="T31" s="174"/>
      <c r="U31" s="175"/>
      <c r="V31" s="177"/>
      <c r="W31" s="177"/>
      <c r="X31" s="177"/>
      <c r="Y31" s="4"/>
      <c r="Z31" s="4"/>
      <c r="AA31" s="4"/>
      <c r="AB31" s="4"/>
      <c r="AC31" s="4"/>
      <c r="AD31" s="4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>
      <c r="A32" s="209" t="s">
        <v>327</v>
      </c>
      <c r="B32" s="196"/>
      <c r="C32" s="196"/>
      <c r="D32" s="196"/>
      <c r="E32" s="196"/>
      <c r="F32" s="196"/>
      <c r="G32" s="196"/>
      <c r="H32" s="196"/>
      <c r="I32" s="196"/>
      <c r="J32" s="197"/>
      <c r="K32" s="171"/>
      <c r="L32" s="171"/>
      <c r="M32" s="171"/>
      <c r="N32" s="171"/>
      <c r="O32" s="172"/>
      <c r="P32" s="173"/>
      <c r="Q32" s="174"/>
      <c r="R32" s="174"/>
      <c r="S32" s="174"/>
      <c r="T32" s="174"/>
      <c r="U32" s="175"/>
      <c r="V32" s="176"/>
      <c r="W32" s="176"/>
      <c r="X32" s="176"/>
      <c r="Y32" s="4"/>
      <c r="Z32" s="4"/>
      <c r="AA32" s="4"/>
      <c r="AB32" s="4"/>
      <c r="AC32" s="4"/>
      <c r="AD32" s="4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>
      <c r="A33" s="210" t="s">
        <v>328</v>
      </c>
      <c r="B33" s="211"/>
      <c r="C33" s="211"/>
      <c r="D33" s="211"/>
      <c r="E33" s="211"/>
      <c r="F33" s="211"/>
      <c r="G33" s="211"/>
      <c r="H33" s="211"/>
      <c r="I33" s="211"/>
      <c r="J33" s="212"/>
      <c r="K33" s="171"/>
      <c r="L33" s="171"/>
      <c r="M33" s="171"/>
      <c r="N33" s="171"/>
      <c r="O33" s="185"/>
      <c r="P33" s="186"/>
      <c r="Q33" s="187"/>
      <c r="R33" s="187"/>
      <c r="S33" s="187"/>
      <c r="T33" s="187"/>
      <c r="U33" s="188"/>
      <c r="V33" s="177"/>
      <c r="W33" s="177"/>
      <c r="X33" s="177"/>
      <c r="Y33" s="4"/>
      <c r="Z33" s="4"/>
      <c r="AA33" s="4"/>
      <c r="AB33" s="4"/>
      <c r="AC33" s="4"/>
      <c r="AD33" s="4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>
      <c r="A34" s="213" t="s">
        <v>329</v>
      </c>
      <c r="B34" s="211"/>
      <c r="C34" s="211"/>
      <c r="D34" s="211"/>
      <c r="E34" s="211"/>
      <c r="F34" s="211"/>
      <c r="G34" s="211"/>
      <c r="H34" s="211"/>
      <c r="I34" s="211"/>
      <c r="J34" s="212"/>
      <c r="K34" s="171"/>
      <c r="L34" s="171"/>
      <c r="M34" s="171"/>
      <c r="N34" s="171"/>
      <c r="O34" s="172"/>
      <c r="P34" s="173"/>
      <c r="Q34" s="174"/>
      <c r="R34" s="174"/>
      <c r="S34" s="174"/>
      <c r="T34" s="174"/>
      <c r="U34" s="175"/>
      <c r="V34" s="176"/>
      <c r="W34" s="176"/>
      <c r="X34" s="176"/>
      <c r="Y34" s="4"/>
      <c r="Z34" s="4"/>
      <c r="AA34" s="4"/>
      <c r="AB34" s="4"/>
      <c r="AC34" s="4"/>
      <c r="AD34" s="4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>
      <c r="A35" s="210" t="s">
        <v>330</v>
      </c>
      <c r="B35" s="211"/>
      <c r="C35" s="211"/>
      <c r="D35" s="211"/>
      <c r="E35" s="211"/>
      <c r="F35" s="211"/>
      <c r="G35" s="211"/>
      <c r="H35" s="211"/>
      <c r="I35" s="211"/>
      <c r="J35" s="212"/>
      <c r="K35" s="171"/>
      <c r="L35" s="171"/>
      <c r="M35" s="171"/>
      <c r="N35" s="171"/>
      <c r="O35" s="172"/>
      <c r="P35" s="173"/>
      <c r="Q35" s="174"/>
      <c r="R35" s="174"/>
      <c r="S35" s="174"/>
      <c r="T35" s="174"/>
      <c r="U35" s="175"/>
      <c r="V35" s="177"/>
      <c r="W35" s="177"/>
      <c r="X35" s="177"/>
      <c r="Y35" s="4"/>
      <c r="Z35" s="4"/>
      <c r="AA35" s="4"/>
      <c r="AB35" s="4"/>
      <c r="AC35" s="4"/>
      <c r="AD35" s="4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>
      <c r="A36" s="210" t="s">
        <v>331</v>
      </c>
      <c r="B36" s="211"/>
      <c r="C36" s="211"/>
      <c r="D36" s="211"/>
      <c r="E36" s="211"/>
      <c r="F36" s="211"/>
      <c r="G36" s="211"/>
      <c r="H36" s="211"/>
      <c r="I36" s="211"/>
      <c r="J36" s="212"/>
      <c r="K36" s="171"/>
      <c r="L36" s="171"/>
      <c r="M36" s="171"/>
      <c r="N36" s="171"/>
      <c r="O36" s="172"/>
      <c r="P36" s="173"/>
      <c r="Q36" s="174"/>
      <c r="R36" s="174"/>
      <c r="S36" s="174"/>
      <c r="T36" s="174"/>
      <c r="U36" s="175"/>
      <c r="V36" s="176"/>
      <c r="W36" s="176"/>
      <c r="X36" s="176"/>
      <c r="Y36" s="4"/>
      <c r="Z36" s="4"/>
      <c r="AA36" s="4"/>
      <c r="AB36" s="4"/>
      <c r="AC36" s="4"/>
      <c r="AD36" s="4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>
      <c r="A37" s="205"/>
      <c r="B37" s="206"/>
      <c r="C37" s="206"/>
      <c r="D37" s="207"/>
      <c r="E37" s="208"/>
      <c r="F37" s="208"/>
      <c r="G37" s="171"/>
      <c r="H37" s="171"/>
      <c r="I37" s="171"/>
      <c r="J37" s="171"/>
      <c r="K37" s="171"/>
      <c r="L37" s="171"/>
      <c r="M37" s="171"/>
      <c r="N37" s="171"/>
      <c r="O37" s="172"/>
      <c r="P37" s="173"/>
      <c r="Q37" s="174"/>
      <c r="R37" s="174"/>
      <c r="S37" s="174"/>
      <c r="T37" s="174"/>
      <c r="U37" s="175"/>
      <c r="V37" s="177"/>
      <c r="W37" s="177"/>
      <c r="X37" s="177"/>
      <c r="Y37" s="4"/>
      <c r="Z37" s="4"/>
      <c r="AA37" s="4"/>
      <c r="AB37" s="4"/>
      <c r="AC37" s="4"/>
      <c r="AD37" s="4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>
      <c r="A38" s="214"/>
      <c r="B38" s="215"/>
      <c r="C38" s="215"/>
      <c r="D38" s="216"/>
      <c r="E38" s="208"/>
      <c r="F38" s="208"/>
      <c r="G38" s="171"/>
      <c r="H38" s="171"/>
      <c r="I38" s="171"/>
      <c r="J38" s="171"/>
      <c r="K38" s="171"/>
      <c r="L38" s="171"/>
      <c r="M38" s="171"/>
      <c r="N38" s="171"/>
      <c r="O38" s="185"/>
      <c r="P38" s="186"/>
      <c r="Q38" s="187"/>
      <c r="R38" s="187"/>
      <c r="S38" s="187"/>
      <c r="T38" s="187"/>
      <c r="U38" s="188"/>
      <c r="V38" s="176"/>
      <c r="W38" s="176"/>
      <c r="X38" s="176"/>
      <c r="Y38" s="4"/>
      <c r="Z38" s="4"/>
      <c r="AA38" s="4"/>
      <c r="AB38" s="4"/>
      <c r="AC38" s="4"/>
      <c r="AD38" s="4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>
      <c r="A39" s="217" t="s">
        <v>332</v>
      </c>
      <c r="B39" s="196"/>
      <c r="C39" s="196"/>
      <c r="D39" s="196"/>
      <c r="E39" s="196"/>
      <c r="F39" s="196"/>
      <c r="G39" s="196"/>
      <c r="H39" s="196"/>
      <c r="I39" s="196"/>
      <c r="J39" s="197"/>
      <c r="K39" s="171"/>
      <c r="L39" s="171"/>
      <c r="M39" s="171"/>
      <c r="N39" s="171"/>
      <c r="O39" s="172"/>
      <c r="P39" s="173"/>
      <c r="Q39" s="174"/>
      <c r="R39" s="174"/>
      <c r="S39" s="174"/>
      <c r="T39" s="174"/>
      <c r="U39" s="175"/>
      <c r="V39" s="177"/>
      <c r="W39" s="177"/>
      <c r="X39" s="177"/>
      <c r="Y39" s="4"/>
      <c r="Z39" s="4"/>
      <c r="AA39" s="4"/>
      <c r="AB39" s="4"/>
      <c r="AC39" s="4"/>
      <c r="AD39" s="4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>
      <c r="A40" s="218" t="s">
        <v>333</v>
      </c>
      <c r="B40" s="219"/>
      <c r="C40" s="219"/>
      <c r="D40" s="219"/>
      <c r="E40" s="219"/>
      <c r="F40" s="219"/>
      <c r="G40" s="219"/>
      <c r="H40" s="219"/>
      <c r="I40" s="219"/>
      <c r="J40" s="220"/>
      <c r="K40" s="171"/>
      <c r="L40" s="171"/>
      <c r="M40" s="171"/>
      <c r="N40" s="171"/>
      <c r="O40" s="172"/>
      <c r="P40" s="173"/>
      <c r="Q40" s="174"/>
      <c r="R40" s="174"/>
      <c r="S40" s="174"/>
      <c r="T40" s="174"/>
      <c r="U40" s="175"/>
      <c r="V40" s="176"/>
      <c r="W40" s="176"/>
      <c r="X40" s="176"/>
      <c r="Y40" s="4"/>
      <c r="Z40" s="4"/>
      <c r="AA40" s="4"/>
      <c r="AB40" s="4"/>
      <c r="AC40" s="4"/>
      <c r="AD40" s="4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>
      <c r="A41" s="221"/>
      <c r="B41" s="222"/>
      <c r="C41" s="222"/>
      <c r="D41" s="223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2"/>
      <c r="P41" s="173"/>
      <c r="Q41" s="174"/>
      <c r="R41" s="174"/>
      <c r="S41" s="174"/>
      <c r="T41" s="174"/>
      <c r="U41" s="175"/>
      <c r="V41" s="177"/>
      <c r="W41" s="177"/>
      <c r="X41" s="177"/>
      <c r="Y41" s="4"/>
      <c r="Z41" s="4"/>
      <c r="AA41" s="4"/>
      <c r="AB41" s="4"/>
      <c r="AC41" s="4"/>
      <c r="AD41" s="4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>
      <c r="A42" s="221"/>
      <c r="B42" s="222"/>
      <c r="C42" s="222"/>
      <c r="D42" s="223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2"/>
      <c r="P42" s="173"/>
      <c r="Q42" s="174"/>
      <c r="R42" s="174"/>
      <c r="S42" s="174"/>
      <c r="T42" s="174"/>
      <c r="U42" s="175"/>
      <c r="V42" s="176"/>
      <c r="W42" s="176"/>
      <c r="X42" s="176"/>
      <c r="Y42" s="4"/>
      <c r="Z42" s="4"/>
      <c r="AA42" s="4"/>
      <c r="AB42" s="4"/>
      <c r="AC42" s="4"/>
      <c r="AD42" s="4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>
      <c r="A43" s="224"/>
      <c r="B43" s="225"/>
      <c r="C43" s="225"/>
      <c r="D43" s="226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85"/>
      <c r="P43" s="186"/>
      <c r="Q43" s="187"/>
      <c r="R43" s="187"/>
      <c r="S43" s="187"/>
      <c r="T43" s="187"/>
      <c r="U43" s="188"/>
      <c r="V43" s="177"/>
      <c r="W43" s="177"/>
      <c r="X43" s="177"/>
      <c r="Y43" s="4"/>
      <c r="Z43" s="4"/>
      <c r="AA43" s="4"/>
      <c r="AB43" s="4"/>
      <c r="AC43" s="4"/>
      <c r="AD43" s="4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>
      <c r="A44" s="221"/>
      <c r="B44" s="222"/>
      <c r="C44" s="222"/>
      <c r="D44" s="223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2"/>
      <c r="P44" s="173"/>
      <c r="Q44" s="174"/>
      <c r="R44" s="174"/>
      <c r="S44" s="174"/>
      <c r="T44" s="174"/>
      <c r="U44" s="175"/>
      <c r="V44" s="176"/>
      <c r="W44" s="176"/>
      <c r="X44" s="176"/>
      <c r="Y44" s="4"/>
      <c r="Z44" s="4"/>
      <c r="AA44" s="4"/>
      <c r="AB44" s="4"/>
      <c r="AC44" s="4"/>
      <c r="AD44" s="4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>
      <c r="A45" s="221"/>
      <c r="B45" s="222"/>
      <c r="C45" s="222"/>
      <c r="D45" s="223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2"/>
      <c r="P45" s="173"/>
      <c r="Q45" s="174"/>
      <c r="R45" s="174"/>
      <c r="S45" s="174"/>
      <c r="T45" s="174"/>
      <c r="U45" s="175"/>
      <c r="V45" s="177"/>
      <c r="W45" s="177"/>
      <c r="X45" s="177"/>
      <c r="Y45" s="4"/>
      <c r="Z45" s="4"/>
      <c r="AA45" s="4"/>
      <c r="AB45" s="4"/>
      <c r="AC45" s="4"/>
      <c r="AD45" s="4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>
      <c r="A46" s="221"/>
      <c r="B46" s="222"/>
      <c r="C46" s="222"/>
      <c r="D46" s="223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2"/>
      <c r="P46" s="173"/>
      <c r="Q46" s="174"/>
      <c r="R46" s="174"/>
      <c r="S46" s="174"/>
      <c r="T46" s="174"/>
      <c r="U46" s="175"/>
      <c r="V46" s="176"/>
      <c r="W46" s="176"/>
      <c r="X46" s="176"/>
      <c r="Y46" s="4"/>
      <c r="Z46" s="4"/>
      <c r="AA46" s="4"/>
      <c r="AB46" s="4"/>
      <c r="AC46" s="4"/>
      <c r="AD46" s="4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>
      <c r="A47" s="221"/>
      <c r="B47" s="222"/>
      <c r="C47" s="222"/>
      <c r="D47" s="223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2"/>
      <c r="P47" s="173"/>
      <c r="Q47" s="174"/>
      <c r="R47" s="174"/>
      <c r="S47" s="174"/>
      <c r="T47" s="174"/>
      <c r="U47" s="175"/>
      <c r="V47" s="177"/>
      <c r="W47" s="177"/>
      <c r="X47" s="177"/>
      <c r="Y47" s="4"/>
      <c r="Z47" s="4"/>
      <c r="AA47" s="4"/>
      <c r="AB47" s="4"/>
      <c r="AC47" s="4"/>
      <c r="AD47" s="4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>
      <c r="A48" s="224"/>
      <c r="B48" s="225"/>
      <c r="C48" s="225"/>
      <c r="D48" s="226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85"/>
      <c r="P48" s="186"/>
      <c r="Q48" s="187"/>
      <c r="R48" s="187"/>
      <c r="S48" s="187"/>
      <c r="T48" s="187"/>
      <c r="U48" s="188"/>
      <c r="V48" s="176"/>
      <c r="W48" s="176"/>
      <c r="X48" s="176"/>
      <c r="Y48" s="4"/>
      <c r="Z48" s="4"/>
      <c r="AA48" s="4"/>
      <c r="AB48" s="4"/>
      <c r="AC48" s="4"/>
      <c r="AD48" s="4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>
      <c r="A49" s="221"/>
      <c r="B49" s="222"/>
      <c r="C49" s="222"/>
      <c r="D49" s="223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2"/>
      <c r="P49" s="173"/>
      <c r="Q49" s="174"/>
      <c r="R49" s="174"/>
      <c r="S49" s="174"/>
      <c r="T49" s="174"/>
      <c r="U49" s="175"/>
      <c r="V49" s="177"/>
      <c r="W49" s="177"/>
      <c r="X49" s="177"/>
      <c r="Y49" s="4"/>
      <c r="Z49" s="4"/>
      <c r="AA49" s="4"/>
      <c r="AB49" s="4"/>
      <c r="AC49" s="4"/>
      <c r="AD49" s="4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</row>
  </sheetData>
  <mergeCells count="11">
    <mergeCell ref="A35:J35"/>
    <mergeCell ref="A36:J36"/>
    <mergeCell ref="A39:J39"/>
    <mergeCell ref="A40:J40"/>
    <mergeCell ref="A1:J1"/>
    <mergeCell ref="A7:J7"/>
    <mergeCell ref="A21:F21"/>
    <mergeCell ref="A22:J22"/>
    <mergeCell ref="A32:J32"/>
    <mergeCell ref="A33:J33"/>
    <mergeCell ref="A34:J34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9.0" ySplit="20.0" topLeftCell="J21" activePane="bottomRight" state="frozen"/>
      <selection activeCell="J1" sqref="J1" pane="topRight"/>
      <selection activeCell="A21" sqref="A21" pane="bottomLeft"/>
      <selection activeCell="J21" sqref="J21" pane="bottomRight"/>
    </sheetView>
  </sheetViews>
  <sheetFormatPr customHeight="1" defaultColWidth="14.43" defaultRowHeight="15.0"/>
  <cols>
    <col customWidth="1" min="1" max="1" width="36.57"/>
    <col customWidth="1" min="2" max="2" width="41.29"/>
    <col customWidth="1" min="3" max="3" width="9.57"/>
    <col customWidth="1" min="4" max="4" width="11.0"/>
    <col customWidth="1" min="5" max="6" width="8.71"/>
    <col customWidth="1" min="7" max="7" width="20.14"/>
    <col customWidth="1" min="8" max="8" width="18.29"/>
    <col customWidth="1" min="9" max="9" width="8.71"/>
    <col customWidth="1" min="10" max="10" width="30.86"/>
    <col customWidth="1" min="11" max="11" width="30.57"/>
    <col customWidth="1" min="12" max="13" width="8.71"/>
    <col customWidth="1" min="14" max="14" width="6.86"/>
    <col customWidth="1" min="15" max="15" width="14.43"/>
    <col customWidth="1" min="16" max="16" width="15.57"/>
    <col customWidth="1" min="17" max="17" width="13.0"/>
    <col customWidth="1" min="18" max="19" width="7.86"/>
    <col customWidth="1" min="20" max="20" width="8.71"/>
    <col customWidth="1" min="21" max="21" width="10.71"/>
    <col customWidth="1" min="22" max="22" width="6.86"/>
    <col customWidth="1" min="23" max="23" width="14.43"/>
    <col customWidth="1" min="24" max="24" width="23.43"/>
    <col customWidth="1" min="25" max="25" width="12.71"/>
    <col customWidth="1" min="26" max="26" width="8.57"/>
    <col customWidth="1" min="27" max="27" width="8.71"/>
    <col customWidth="1" min="28" max="28" width="159.71"/>
    <col customWidth="1" min="29" max="32" width="9.86"/>
    <col customWidth="1" min="33" max="33" width="5.29"/>
    <col customWidth="1" min="34" max="53" width="2.0"/>
  </cols>
  <sheetData>
    <row r="1">
      <c r="A1" s="56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227"/>
      <c r="AZ1" s="227"/>
      <c r="BA1" s="22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228"/>
      <c r="AF2" s="228"/>
      <c r="AG2" s="229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227"/>
      <c r="AZ2" s="227"/>
      <c r="BA2" s="227"/>
    </row>
    <row r="3">
      <c r="A3" s="230" t="s">
        <v>335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  <c r="AG3" s="231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227"/>
      <c r="AZ3" s="227"/>
      <c r="BA3" s="22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232"/>
      <c r="AF4" s="232"/>
      <c r="AG4" s="232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227"/>
      <c r="AZ4" s="227"/>
      <c r="BA4" s="227"/>
    </row>
    <row r="5">
      <c r="A5" s="230" t="s">
        <v>336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  <c r="AG5" s="232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227"/>
      <c r="AZ5" s="227"/>
      <c r="BA5" s="227"/>
    </row>
    <row r="6">
      <c r="A6" s="230" t="s">
        <v>337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227"/>
      <c r="AZ6" s="227"/>
      <c r="BA6" s="227"/>
    </row>
    <row r="7">
      <c r="A7" s="233" t="s">
        <v>338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227"/>
      <c r="AZ7" s="227"/>
      <c r="BA7" s="227"/>
    </row>
    <row r="8">
      <c r="A8" s="230" t="s">
        <v>339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227"/>
      <c r="AZ8" s="227"/>
      <c r="BA8" s="227"/>
    </row>
    <row r="9">
      <c r="A9" s="233" t="s">
        <v>340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227"/>
      <c r="AZ9" s="227"/>
      <c r="BA9" s="227"/>
    </row>
    <row r="10">
      <c r="A10" s="230" t="s">
        <v>341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227"/>
      <c r="AZ10" s="227"/>
      <c r="BA10" s="227"/>
    </row>
    <row r="11">
      <c r="A11" s="234" t="s">
        <v>342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227"/>
      <c r="AZ11" s="227"/>
      <c r="BA11" s="22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232"/>
      <c r="AF12" s="232"/>
      <c r="AG12" s="232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227"/>
      <c r="AZ12" s="227"/>
      <c r="BA12" s="227"/>
    </row>
    <row r="13">
      <c r="A13" s="235" t="s">
        <v>343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227"/>
      <c r="AZ13" s="227"/>
      <c r="BA13" s="22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232"/>
      <c r="AF14" s="232"/>
      <c r="AG14" s="232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227"/>
      <c r="AZ14" s="227"/>
      <c r="BA14" s="227"/>
    </row>
    <row r="15">
      <c r="A15" s="236" t="s">
        <v>344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232"/>
      <c r="AF15" s="232"/>
      <c r="AG15" s="232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227"/>
      <c r="AZ15" s="227"/>
      <c r="BA15" s="22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232"/>
      <c r="AF16" s="232"/>
      <c r="AG16" s="232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227"/>
      <c r="AZ16" s="227"/>
      <c r="BA16" s="227"/>
    </row>
    <row r="17">
      <c r="A17" s="230" t="s">
        <v>345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  <c r="AH17" s="237"/>
      <c r="AI17" s="237"/>
      <c r="AJ17" s="237"/>
      <c r="AK17" s="237"/>
      <c r="AL17" s="237"/>
      <c r="AM17" s="237"/>
      <c r="AN17" s="237"/>
      <c r="AO17" s="237"/>
      <c r="AP17" s="5"/>
      <c r="AQ17" s="5"/>
      <c r="AR17" s="5"/>
      <c r="AS17" s="5"/>
      <c r="AT17" s="5"/>
      <c r="AU17" s="5"/>
      <c r="AV17" s="5"/>
      <c r="AW17" s="5"/>
      <c r="AX17" s="5"/>
      <c r="AY17" s="227"/>
      <c r="AZ17" s="227"/>
      <c r="BA17" s="22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238"/>
      <c r="AF18" s="238"/>
      <c r="AG18" s="238"/>
      <c r="AH18" s="239"/>
      <c r="AI18" s="239"/>
      <c r="AJ18" s="239"/>
      <c r="AK18" s="239"/>
      <c r="AL18" s="239"/>
      <c r="AM18" s="239"/>
      <c r="AN18" s="239"/>
      <c r="AO18" s="239"/>
      <c r="AP18" s="5"/>
      <c r="AQ18" s="5"/>
      <c r="AR18" s="5"/>
      <c r="AS18" s="5"/>
      <c r="AT18" s="5"/>
      <c r="AU18" s="5"/>
      <c r="AV18" s="5"/>
      <c r="AW18" s="5"/>
      <c r="AX18" s="5"/>
      <c r="AY18" s="227"/>
      <c r="AZ18" s="227"/>
      <c r="BA18" s="22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38"/>
      <c r="AF19" s="238"/>
      <c r="AG19" s="238"/>
      <c r="AH19" s="239"/>
      <c r="AI19" s="239"/>
      <c r="AJ19" s="239"/>
      <c r="AK19" s="239"/>
      <c r="AL19" s="239"/>
      <c r="AM19" s="239"/>
      <c r="AN19" s="239"/>
      <c r="AO19" s="239"/>
      <c r="AP19" s="5"/>
      <c r="AQ19" s="5"/>
      <c r="AR19" s="5"/>
      <c r="AS19" s="5"/>
      <c r="AT19" s="5"/>
      <c r="AU19" s="5"/>
      <c r="AV19" s="5"/>
      <c r="AW19" s="5"/>
      <c r="AX19" s="5"/>
      <c r="AY19" s="227"/>
      <c r="AZ19" s="227"/>
      <c r="BA19" s="227"/>
    </row>
    <row r="20">
      <c r="A20" s="240" t="s">
        <v>346</v>
      </c>
      <c r="B20" s="240" t="s">
        <v>347</v>
      </c>
      <c r="C20" s="240" t="s">
        <v>348</v>
      </c>
      <c r="D20" s="240" t="s">
        <v>349</v>
      </c>
      <c r="E20" s="240" t="s">
        <v>350</v>
      </c>
      <c r="F20" s="240" t="s">
        <v>351</v>
      </c>
      <c r="G20" s="240" t="s">
        <v>352</v>
      </c>
      <c r="H20" s="240" t="s">
        <v>353</v>
      </c>
      <c r="I20" s="240" t="s">
        <v>354</v>
      </c>
      <c r="J20" s="240" t="s">
        <v>355</v>
      </c>
      <c r="K20" s="240" t="s">
        <v>356</v>
      </c>
      <c r="L20" s="240" t="s">
        <v>357</v>
      </c>
      <c r="M20" s="240" t="s">
        <v>358</v>
      </c>
      <c r="N20" s="240" t="s">
        <v>359</v>
      </c>
      <c r="O20" s="240" t="s">
        <v>360</v>
      </c>
      <c r="P20" s="240" t="s">
        <v>361</v>
      </c>
      <c r="Q20" s="240" t="s">
        <v>362</v>
      </c>
      <c r="R20" s="240" t="s">
        <v>363</v>
      </c>
      <c r="S20" s="240" t="s">
        <v>364</v>
      </c>
      <c r="T20" s="240" t="s">
        <v>365</v>
      </c>
      <c r="U20" s="240" t="s">
        <v>366</v>
      </c>
      <c r="V20" s="240" t="s">
        <v>367</v>
      </c>
      <c r="W20" s="240" t="s">
        <v>368</v>
      </c>
      <c r="X20" s="240" t="s">
        <v>369</v>
      </c>
      <c r="Y20" s="240" t="s">
        <v>370</v>
      </c>
      <c r="Z20" s="240" t="s">
        <v>371</v>
      </c>
      <c r="AA20" s="240" t="s">
        <v>372</v>
      </c>
      <c r="AB20" s="240" t="s">
        <v>171</v>
      </c>
      <c r="AC20" s="240" t="s">
        <v>373</v>
      </c>
      <c r="AD20" s="241" t="s">
        <v>374</v>
      </c>
      <c r="AE20" s="241" t="s">
        <v>375</v>
      </c>
      <c r="AF20" s="241" t="s">
        <v>376</v>
      </c>
      <c r="AG20" s="242" t="s">
        <v>171</v>
      </c>
      <c r="AH20" s="239"/>
      <c r="AI20" s="239"/>
      <c r="AJ20" s="239"/>
      <c r="AK20" s="239"/>
      <c r="AL20" s="239"/>
      <c r="AM20" s="239"/>
      <c r="AN20" s="239"/>
      <c r="AO20" s="239"/>
      <c r="AP20" s="5"/>
      <c r="AQ20" s="5"/>
      <c r="AR20" s="5"/>
      <c r="AS20" s="5"/>
      <c r="AT20" s="5"/>
      <c r="AU20" s="5"/>
      <c r="AV20" s="5"/>
      <c r="AW20" s="5"/>
      <c r="AX20" s="5"/>
      <c r="AY20" s="227"/>
      <c r="AZ20" s="227"/>
      <c r="BA20" s="227"/>
    </row>
    <row r="21">
      <c r="A21" s="243" t="s">
        <v>377</v>
      </c>
      <c r="B21" s="243" t="s">
        <v>378</v>
      </c>
      <c r="C21" s="244">
        <f t="shared" ref="C21:C25" si="1">TODAY()</f>
        <v>45992</v>
      </c>
      <c r="D21" s="243"/>
      <c r="E21" s="243" t="s">
        <v>379</v>
      </c>
      <c r="F21" s="243" t="s">
        <v>380</v>
      </c>
      <c r="G21" s="243" t="s">
        <v>381</v>
      </c>
      <c r="H21" s="243" t="s">
        <v>382</v>
      </c>
      <c r="I21" s="243" t="s">
        <v>383</v>
      </c>
      <c r="J21" s="243" t="s">
        <v>384</v>
      </c>
      <c r="K21" s="243" t="s">
        <v>385</v>
      </c>
      <c r="L21" s="243" t="s">
        <v>386</v>
      </c>
      <c r="M21" s="243" t="s">
        <v>387</v>
      </c>
      <c r="N21" s="243" t="s">
        <v>388</v>
      </c>
      <c r="O21" s="243" t="s">
        <v>389</v>
      </c>
      <c r="P21" s="243" t="s">
        <v>390</v>
      </c>
      <c r="Q21" s="243" t="s">
        <v>391</v>
      </c>
      <c r="R21" s="243" t="s">
        <v>392</v>
      </c>
      <c r="S21" s="243" t="s">
        <v>393</v>
      </c>
      <c r="T21" s="243" t="s">
        <v>394</v>
      </c>
      <c r="U21" s="243" t="s">
        <v>395</v>
      </c>
      <c r="V21" s="243" t="s">
        <v>396</v>
      </c>
      <c r="W21" s="243" t="s">
        <v>397</v>
      </c>
      <c r="X21" s="243" t="s">
        <v>398</v>
      </c>
      <c r="Y21" s="243" t="s">
        <v>399</v>
      </c>
      <c r="Z21" s="243" t="s">
        <v>400</v>
      </c>
      <c r="AA21" s="243" t="s">
        <v>401</v>
      </c>
      <c r="AB21" s="243" t="s">
        <v>402</v>
      </c>
      <c r="AC21" s="245"/>
      <c r="AD21" s="245"/>
      <c r="AE21" s="246"/>
      <c r="AF21" s="246"/>
      <c r="AG21" s="246"/>
      <c r="AH21" s="247"/>
      <c r="AI21" s="247"/>
      <c r="AJ21" s="247"/>
      <c r="AK21" s="247"/>
      <c r="AL21" s="247"/>
      <c r="AM21" s="247"/>
      <c r="AN21" s="247"/>
      <c r="AO21" s="247"/>
      <c r="AP21" s="248"/>
      <c r="AQ21" s="248"/>
      <c r="AR21" s="248"/>
      <c r="AS21" s="248"/>
      <c r="AT21" s="248"/>
      <c r="AU21" s="248"/>
      <c r="AV21" s="248"/>
      <c r="AW21" s="248"/>
      <c r="AX21" s="248"/>
      <c r="AY21" s="249"/>
      <c r="AZ21" s="249"/>
      <c r="BA21" s="249"/>
    </row>
    <row r="22">
      <c r="A22" s="250" t="s">
        <v>403</v>
      </c>
      <c r="B22" s="250" t="s">
        <v>404</v>
      </c>
      <c r="C22" s="251">
        <f t="shared" si="1"/>
        <v>45992</v>
      </c>
      <c r="D22" s="250"/>
      <c r="E22" s="250" t="s">
        <v>405</v>
      </c>
      <c r="F22" s="250" t="s">
        <v>406</v>
      </c>
      <c r="G22" s="250" t="s">
        <v>407</v>
      </c>
      <c r="H22" s="250"/>
      <c r="I22" s="250" t="s">
        <v>408</v>
      </c>
      <c r="J22" s="250" t="s">
        <v>409</v>
      </c>
      <c r="K22" s="250" t="s">
        <v>410</v>
      </c>
      <c r="L22" s="250" t="s">
        <v>411</v>
      </c>
      <c r="M22" s="250" t="s">
        <v>412</v>
      </c>
      <c r="N22" s="250" t="s">
        <v>413</v>
      </c>
      <c r="O22" s="250" t="s">
        <v>389</v>
      </c>
      <c r="P22" s="250" t="s">
        <v>414</v>
      </c>
      <c r="Q22" s="250" t="s">
        <v>415</v>
      </c>
      <c r="R22" s="250" t="s">
        <v>416</v>
      </c>
      <c r="S22" s="250" t="s">
        <v>417</v>
      </c>
      <c r="T22" s="250" t="s">
        <v>394</v>
      </c>
      <c r="U22" s="250" t="s">
        <v>418</v>
      </c>
      <c r="V22" s="250" t="s">
        <v>419</v>
      </c>
      <c r="W22" s="250" t="s">
        <v>420</v>
      </c>
      <c r="X22" s="250" t="s">
        <v>398</v>
      </c>
      <c r="Y22" s="250" t="s">
        <v>421</v>
      </c>
      <c r="Z22" s="250" t="s">
        <v>400</v>
      </c>
      <c r="AA22" s="250" t="s">
        <v>422</v>
      </c>
      <c r="AB22" s="250" t="s">
        <v>423</v>
      </c>
      <c r="AC22" s="245"/>
      <c r="AD22" s="245"/>
      <c r="AE22" s="250"/>
      <c r="AF22" s="250"/>
      <c r="AG22" s="252"/>
      <c r="AH22" s="247"/>
      <c r="AI22" s="247"/>
      <c r="AJ22" s="247"/>
      <c r="AK22" s="247"/>
      <c r="AL22" s="247"/>
      <c r="AM22" s="247"/>
      <c r="AN22" s="247"/>
      <c r="AO22" s="247"/>
      <c r="AP22" s="248"/>
      <c r="AQ22" s="248"/>
      <c r="AR22" s="248"/>
      <c r="AS22" s="248"/>
      <c r="AT22" s="248"/>
      <c r="AU22" s="248"/>
      <c r="AV22" s="248"/>
      <c r="AW22" s="248"/>
      <c r="AX22" s="248"/>
      <c r="AY22" s="249"/>
      <c r="AZ22" s="249"/>
      <c r="BA22" s="249"/>
    </row>
    <row r="23">
      <c r="A23" s="253" t="s">
        <v>424</v>
      </c>
      <c r="B23" s="253"/>
      <c r="C23" s="253">
        <f t="shared" si="1"/>
        <v>45992</v>
      </c>
      <c r="D23" s="253"/>
      <c r="E23" s="253" t="s">
        <v>425</v>
      </c>
      <c r="F23" s="253">
        <v>5.0</v>
      </c>
      <c r="G23" s="253" t="s">
        <v>426</v>
      </c>
      <c r="H23" s="253" t="s">
        <v>427</v>
      </c>
      <c r="I23" s="253" t="s">
        <v>427</v>
      </c>
      <c r="J23" s="253" t="s">
        <v>382</v>
      </c>
      <c r="K23" s="253" t="s">
        <v>428</v>
      </c>
      <c r="L23" s="253" t="s">
        <v>394</v>
      </c>
      <c r="M23" s="253" t="s">
        <v>395</v>
      </c>
      <c r="N23" s="253" t="s">
        <v>429</v>
      </c>
      <c r="O23" s="253" t="s">
        <v>397</v>
      </c>
      <c r="P23" s="253" t="s">
        <v>430</v>
      </c>
      <c r="Q23" s="253" t="s">
        <v>431</v>
      </c>
      <c r="R23" s="253" t="s">
        <v>432</v>
      </c>
      <c r="S23" s="253" t="s">
        <v>386</v>
      </c>
      <c r="T23" s="253" t="s">
        <v>433</v>
      </c>
      <c r="U23" s="253" t="s">
        <v>434</v>
      </c>
      <c r="V23" s="253" t="s">
        <v>435</v>
      </c>
      <c r="W23" s="253" t="s">
        <v>436</v>
      </c>
      <c r="X23" s="253" t="s">
        <v>437</v>
      </c>
      <c r="Y23" s="253" t="s">
        <v>438</v>
      </c>
      <c r="Z23" s="253" t="s">
        <v>439</v>
      </c>
      <c r="AA23" s="253" t="s">
        <v>440</v>
      </c>
      <c r="AB23" s="253" t="s">
        <v>441</v>
      </c>
      <c r="AC23" s="245"/>
      <c r="AD23" s="245"/>
      <c r="AE23" s="250"/>
      <c r="AF23" s="250"/>
      <c r="AG23" s="252"/>
      <c r="AH23" s="247"/>
      <c r="AI23" s="247"/>
      <c r="AJ23" s="247"/>
      <c r="AK23" s="247"/>
      <c r="AL23" s="247"/>
      <c r="AM23" s="247"/>
      <c r="AN23" s="247"/>
      <c r="AO23" s="247"/>
      <c r="AP23" s="248"/>
      <c r="AQ23" s="248"/>
      <c r="AR23" s="248"/>
      <c r="AS23" s="248"/>
      <c r="AT23" s="248"/>
      <c r="AU23" s="248"/>
      <c r="AV23" s="248"/>
      <c r="AW23" s="248"/>
      <c r="AX23" s="248"/>
      <c r="AY23" s="249"/>
      <c r="AZ23" s="249"/>
      <c r="BA23" s="249"/>
    </row>
    <row r="24">
      <c r="A24" s="254" t="s">
        <v>442</v>
      </c>
      <c r="B24" s="254"/>
      <c r="C24" s="255">
        <f t="shared" si="1"/>
        <v>45992</v>
      </c>
      <c r="D24" s="255"/>
      <c r="E24" s="255" t="s">
        <v>443</v>
      </c>
      <c r="F24" s="255">
        <v>5.0</v>
      </c>
      <c r="G24" s="255" t="s">
        <v>444</v>
      </c>
      <c r="H24" s="255" t="s">
        <v>427</v>
      </c>
      <c r="I24" s="255" t="s">
        <v>427</v>
      </c>
      <c r="J24" s="255"/>
      <c r="K24" s="255" t="s">
        <v>445</v>
      </c>
      <c r="L24" s="255" t="s">
        <v>394</v>
      </c>
      <c r="M24" s="255" t="s">
        <v>446</v>
      </c>
      <c r="N24" s="255" t="s">
        <v>446</v>
      </c>
      <c r="O24" s="255" t="s">
        <v>420</v>
      </c>
      <c r="P24" s="255" t="s">
        <v>447</v>
      </c>
      <c r="Q24" s="255" t="s">
        <v>448</v>
      </c>
      <c r="R24" s="255" t="s">
        <v>449</v>
      </c>
      <c r="S24" s="255" t="s">
        <v>446</v>
      </c>
      <c r="T24" s="255" t="s">
        <v>450</v>
      </c>
      <c r="U24" s="255" t="s">
        <v>434</v>
      </c>
      <c r="V24" s="255" t="s">
        <v>435</v>
      </c>
      <c r="W24" s="255" t="s">
        <v>446</v>
      </c>
      <c r="X24" s="255" t="s">
        <v>437</v>
      </c>
      <c r="Y24" s="255" t="s">
        <v>438</v>
      </c>
      <c r="Z24" s="255" t="s">
        <v>400</v>
      </c>
      <c r="AA24" s="255" t="s">
        <v>440</v>
      </c>
      <c r="AB24" s="255" t="s">
        <v>451</v>
      </c>
      <c r="AC24" s="245"/>
      <c r="AD24" s="245"/>
      <c r="AE24" s="256"/>
      <c r="AF24" s="256"/>
      <c r="AG24" s="256"/>
      <c r="AH24" s="247"/>
      <c r="AI24" s="247"/>
      <c r="AJ24" s="247"/>
      <c r="AK24" s="247"/>
      <c r="AL24" s="247"/>
      <c r="AM24" s="247"/>
      <c r="AN24" s="247"/>
      <c r="AO24" s="247"/>
      <c r="AP24" s="248"/>
      <c r="AQ24" s="248"/>
      <c r="AR24" s="248"/>
      <c r="AS24" s="248"/>
      <c r="AT24" s="248"/>
      <c r="AU24" s="248"/>
      <c r="AV24" s="248"/>
      <c r="AW24" s="248"/>
      <c r="AX24" s="248"/>
      <c r="AY24" s="249"/>
      <c r="AZ24" s="249"/>
      <c r="BA24" s="249"/>
    </row>
    <row r="25">
      <c r="A25" s="254" t="s">
        <v>452</v>
      </c>
      <c r="B25" s="254" t="s">
        <v>305</v>
      </c>
      <c r="C25" s="254">
        <f t="shared" si="1"/>
        <v>45992</v>
      </c>
      <c r="D25" s="254" t="s">
        <v>453</v>
      </c>
      <c r="E25" s="254" t="s">
        <v>454</v>
      </c>
      <c r="F25" s="254">
        <v>10.0</v>
      </c>
      <c r="G25" s="254">
        <v>8.9</v>
      </c>
      <c r="H25" s="254">
        <v>0.498</v>
      </c>
      <c r="I25" s="254">
        <v>0.598</v>
      </c>
      <c r="J25" s="254" t="s">
        <v>455</v>
      </c>
      <c r="K25" s="254" t="s">
        <v>456</v>
      </c>
      <c r="L25" s="254" t="s">
        <v>394</v>
      </c>
      <c r="M25" s="254" t="s">
        <v>457</v>
      </c>
      <c r="N25" s="254" t="s">
        <v>457</v>
      </c>
      <c r="O25" s="254" t="s">
        <v>457</v>
      </c>
      <c r="P25" s="254" t="s">
        <v>458</v>
      </c>
      <c r="Q25" s="254" t="s">
        <v>459</v>
      </c>
      <c r="R25" s="254">
        <v>115.0</v>
      </c>
      <c r="S25" s="254" t="s">
        <v>460</v>
      </c>
      <c r="T25" s="254">
        <v>22.98</v>
      </c>
      <c r="U25" s="254" t="s">
        <v>457</v>
      </c>
      <c r="V25" s="254" t="s">
        <v>435</v>
      </c>
      <c r="W25" s="254" t="s">
        <v>457</v>
      </c>
      <c r="X25" s="254" t="s">
        <v>461</v>
      </c>
      <c r="Y25" s="254" t="s">
        <v>427</v>
      </c>
      <c r="Z25" s="254" t="s">
        <v>400</v>
      </c>
      <c r="AA25" s="254" t="s">
        <v>457</v>
      </c>
      <c r="AB25" s="254" t="s">
        <v>462</v>
      </c>
      <c r="AC25" s="245"/>
      <c r="AD25" s="245"/>
      <c r="AE25" s="257"/>
      <c r="AF25" s="257"/>
      <c r="AG25" s="257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9"/>
      <c r="AZ25" s="249"/>
      <c r="BA25" s="249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258"/>
      <c r="AF26" s="258"/>
      <c r="AG26" s="258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259"/>
      <c r="AZ26" s="259"/>
      <c r="BA26" s="259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258"/>
      <c r="AF27" s="258"/>
      <c r="AG27" s="258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259"/>
      <c r="AZ27" s="259"/>
      <c r="BA27" s="259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258"/>
      <c r="AF28" s="258"/>
      <c r="AG28" s="258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259"/>
      <c r="AZ28" s="259"/>
      <c r="BA28" s="259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258"/>
      <c r="AF29" s="258"/>
      <c r="AG29" s="258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259"/>
      <c r="AZ29" s="259"/>
      <c r="BA29" s="259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258"/>
      <c r="AF30" s="258"/>
      <c r="AG30" s="258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259"/>
      <c r="AZ30" s="259"/>
      <c r="BA30" s="259"/>
    </row>
    <row r="31">
      <c r="A31" s="221"/>
      <c r="B31" s="260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  <c r="AA31" s="258"/>
      <c r="AB31" s="258"/>
      <c r="AC31" s="258"/>
      <c r="AD31" s="258"/>
      <c r="AE31" s="258"/>
      <c r="AF31" s="258"/>
      <c r="AG31" s="258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259"/>
      <c r="AZ31" s="259"/>
      <c r="BA31" s="259"/>
    </row>
    <row r="32">
      <c r="A32" s="221"/>
      <c r="B32" s="260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  <c r="AA32" s="258"/>
      <c r="AB32" s="258"/>
      <c r="AC32" s="258"/>
      <c r="AD32" s="258"/>
      <c r="AE32" s="258"/>
      <c r="AF32" s="258"/>
      <c r="AG32" s="258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259"/>
      <c r="AZ32" s="259"/>
      <c r="BA32" s="259"/>
    </row>
    <row r="33">
      <c r="A33" s="224"/>
      <c r="B33" s="261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259"/>
      <c r="AZ33" s="259"/>
      <c r="BA33" s="259"/>
    </row>
    <row r="34">
      <c r="A34" s="221"/>
      <c r="B34" s="260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259"/>
      <c r="AZ34" s="259"/>
      <c r="BA34" s="259"/>
    </row>
    <row r="35">
      <c r="A35" s="221"/>
      <c r="B35" s="260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259"/>
      <c r="AZ35" s="259"/>
      <c r="BA35" s="259"/>
    </row>
    <row r="36">
      <c r="A36" s="221"/>
      <c r="B36" s="260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259"/>
      <c r="AZ36" s="259"/>
      <c r="BA36" s="259"/>
    </row>
    <row r="37">
      <c r="A37" s="221"/>
      <c r="B37" s="260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259"/>
      <c r="AZ37" s="259"/>
      <c r="BA37" s="259"/>
    </row>
    <row r="38">
      <c r="A38" s="224"/>
      <c r="B38" s="261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259"/>
      <c r="AZ38" s="259"/>
      <c r="BA38" s="259"/>
    </row>
    <row r="39">
      <c r="A39" s="221"/>
      <c r="B39" s="260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8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259"/>
      <c r="AZ39" s="259"/>
      <c r="BA39" s="259"/>
    </row>
    <row r="40">
      <c r="A40" s="221"/>
      <c r="B40" s="260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  <c r="Z40" s="258"/>
      <c r="AA40" s="258"/>
      <c r="AB40" s="258"/>
      <c r="AC40" s="258"/>
      <c r="AD40" s="258"/>
      <c r="AE40" s="258"/>
      <c r="AF40" s="258"/>
      <c r="AG40" s="258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259"/>
      <c r="AZ40" s="259"/>
      <c r="BA40" s="259"/>
    </row>
    <row r="41">
      <c r="A41" s="221"/>
      <c r="B41" s="260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58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259"/>
      <c r="AZ41" s="259"/>
      <c r="BA41" s="259"/>
    </row>
    <row r="42">
      <c r="A42" s="221"/>
      <c r="B42" s="260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  <c r="AA42" s="258"/>
      <c r="AB42" s="258"/>
      <c r="AC42" s="258"/>
      <c r="AD42" s="258"/>
      <c r="AE42" s="258"/>
      <c r="AF42" s="258"/>
      <c r="AG42" s="258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259"/>
      <c r="AZ42" s="259"/>
      <c r="BA42" s="259"/>
    </row>
    <row r="43">
      <c r="A43" s="224"/>
      <c r="B43" s="261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  <c r="AA43" s="258"/>
      <c r="AB43" s="258"/>
      <c r="AC43" s="258"/>
      <c r="AD43" s="258"/>
      <c r="AE43" s="258"/>
      <c r="AF43" s="258"/>
      <c r="AG43" s="258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259"/>
      <c r="AZ43" s="259"/>
      <c r="BA43" s="259"/>
    </row>
    <row r="44">
      <c r="A44" s="221"/>
      <c r="B44" s="260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259"/>
      <c r="AZ44" s="259"/>
      <c r="BA44" s="259"/>
    </row>
    <row r="45">
      <c r="A45" s="221"/>
      <c r="B45" s="260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259"/>
      <c r="AZ45" s="259"/>
      <c r="BA45" s="259"/>
    </row>
    <row r="46">
      <c r="A46" s="221"/>
      <c r="B46" s="260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  <c r="Z46" s="258"/>
      <c r="AA46" s="258"/>
      <c r="AB46" s="258"/>
      <c r="AC46" s="258"/>
      <c r="AD46" s="258"/>
      <c r="AE46" s="258"/>
      <c r="AF46" s="258"/>
      <c r="AG46" s="258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259"/>
      <c r="AZ46" s="259"/>
      <c r="BA46" s="259"/>
    </row>
    <row r="47">
      <c r="A47" s="221"/>
      <c r="B47" s="260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259"/>
      <c r="AZ47" s="259"/>
      <c r="BA47" s="259"/>
    </row>
    <row r="48">
      <c r="A48" s="224"/>
      <c r="B48" s="261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  <c r="AA48" s="258"/>
      <c r="AB48" s="258"/>
      <c r="AC48" s="258"/>
      <c r="AD48" s="258"/>
      <c r="AE48" s="258"/>
      <c r="AF48" s="258"/>
      <c r="AG48" s="258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259"/>
      <c r="AZ48" s="259"/>
      <c r="BA48" s="259"/>
    </row>
    <row r="49">
      <c r="A49" s="221"/>
      <c r="B49" s="260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259"/>
      <c r="AZ49" s="259"/>
      <c r="BA49" s="259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</row>
  </sheetData>
  <mergeCells count="11">
    <mergeCell ref="A10:AG10"/>
    <mergeCell ref="A11:AG11"/>
    <mergeCell ref="A13:AG13"/>
    <mergeCell ref="A17:AG17"/>
    <mergeCell ref="A1:AG1"/>
    <mergeCell ref="A3:AF3"/>
    <mergeCell ref="A5:AF5"/>
    <mergeCell ref="A6:AG6"/>
    <mergeCell ref="A7:AG7"/>
    <mergeCell ref="A8:AG8"/>
    <mergeCell ref="A9:AG9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7" width="15.0"/>
    <col customWidth="1" min="8" max="8" width="17.14"/>
    <col customWidth="1" min="9" max="10" width="11.43"/>
    <col customWidth="1" min="11" max="21" width="2.0"/>
    <col customWidth="1" min="22" max="32" width="4.71"/>
  </cols>
  <sheetData>
    <row r="1" ht="22.5" customHeight="1">
      <c r="A1" s="56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5"/>
      <c r="AF1" s="5"/>
    </row>
    <row r="2" ht="15.0" customHeight="1">
      <c r="A2" s="7"/>
      <c r="B2" s="7"/>
      <c r="C2" s="7"/>
      <c r="D2" s="7"/>
      <c r="E2" s="7"/>
      <c r="F2" s="7"/>
      <c r="G2" s="7"/>
      <c r="H2" s="7"/>
      <c r="I2" s="12"/>
      <c r="J2" s="1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5"/>
    </row>
    <row r="3" ht="18.75" customHeight="1">
      <c r="A3" s="262" t="s">
        <v>464</v>
      </c>
      <c r="B3" s="263"/>
      <c r="C3" s="263"/>
      <c r="D3" s="263"/>
      <c r="E3" s="263"/>
      <c r="F3" s="263"/>
      <c r="G3" s="263"/>
      <c r="H3" s="264"/>
      <c r="I3" s="12"/>
      <c r="J3" s="1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</row>
    <row r="4" ht="15.0" customHeight="1">
      <c r="A4" s="7"/>
      <c r="B4" s="7"/>
      <c r="C4" s="7"/>
      <c r="D4" s="7"/>
      <c r="E4" s="7"/>
      <c r="F4" s="7"/>
      <c r="G4" s="7"/>
      <c r="H4" s="7"/>
      <c r="I4" s="12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5"/>
    </row>
    <row r="5" ht="22.5" customHeight="1">
      <c r="A5" s="265" t="s">
        <v>465</v>
      </c>
      <c r="B5" s="266"/>
      <c r="C5" s="266"/>
      <c r="D5" s="266"/>
      <c r="E5" s="266"/>
      <c r="F5" s="266"/>
      <c r="G5" s="266"/>
      <c r="H5" s="267"/>
      <c r="I5" s="12"/>
      <c r="J5" s="1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</row>
    <row r="6" ht="15.0" customHeight="1">
      <c r="A6" s="268" t="s">
        <v>465</v>
      </c>
      <c r="U6" s="34"/>
      <c r="V6" s="4"/>
      <c r="W6" s="4"/>
      <c r="X6" s="4"/>
      <c r="Y6" s="4"/>
      <c r="Z6" s="4"/>
      <c r="AA6" s="4"/>
      <c r="AB6" s="4"/>
      <c r="AC6" s="4"/>
      <c r="AD6" s="4"/>
      <c r="AE6" s="5"/>
      <c r="AF6" s="5"/>
    </row>
    <row r="7" ht="16.5" customHeight="1">
      <c r="A7" s="269" t="s">
        <v>466</v>
      </c>
      <c r="B7" s="270"/>
      <c r="C7" s="270"/>
      <c r="D7" s="270"/>
      <c r="E7" s="270"/>
      <c r="F7" s="270"/>
      <c r="G7" s="270"/>
      <c r="H7" s="271"/>
      <c r="I7" s="12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5"/>
    </row>
    <row r="8" ht="18.75" customHeight="1">
      <c r="A8" s="272" t="s">
        <v>467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"/>
      <c r="W8" s="4"/>
      <c r="X8" s="4"/>
      <c r="Y8" s="4"/>
      <c r="Z8" s="4"/>
      <c r="AA8" s="4"/>
      <c r="AB8" s="4"/>
      <c r="AC8" s="4"/>
      <c r="AD8" s="4"/>
      <c r="AE8" s="5"/>
      <c r="AF8" s="5"/>
    </row>
    <row r="9" ht="15.0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5"/>
    </row>
    <row r="10" ht="15.0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5"/>
    </row>
    <row r="11" ht="15.0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5"/>
    </row>
    <row r="12" ht="15.0" customHeight="1">
      <c r="A12" s="233" t="s">
        <v>468</v>
      </c>
      <c r="B12" s="2"/>
      <c r="C12" s="2"/>
      <c r="D12" s="2"/>
      <c r="E12" s="2"/>
      <c r="F12" s="2"/>
      <c r="G12" s="3"/>
      <c r="H12" s="12"/>
      <c r="I12" s="12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5"/>
    </row>
    <row r="13" ht="15.0" customHeight="1">
      <c r="A13" s="233" t="s">
        <v>469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5"/>
    </row>
    <row r="14" ht="15.0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5"/>
    </row>
    <row r="15" ht="15.0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5"/>
    </row>
    <row r="16" ht="22.5" customHeight="1">
      <c r="A16" s="273" t="s">
        <v>470</v>
      </c>
      <c r="B16" s="2"/>
      <c r="C16" s="2"/>
      <c r="D16" s="2"/>
      <c r="E16" s="2"/>
      <c r="F16" s="2"/>
      <c r="G16" s="2"/>
      <c r="H16" s="3"/>
      <c r="I16" s="12"/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5"/>
    </row>
    <row r="17" ht="15.0" customHeight="1">
      <c r="A17" s="273" t="s">
        <v>471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5"/>
    </row>
    <row r="18" ht="18.75" customHeight="1">
      <c r="A18" s="81" t="s">
        <v>472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5"/>
    </row>
    <row r="19" ht="18.75" customHeight="1">
      <c r="A19" s="273" t="s">
        <v>473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5"/>
    </row>
    <row r="20" ht="18.75" customHeight="1">
      <c r="A20" s="274" t="s">
        <v>474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2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5"/>
    </row>
    <row r="21" ht="15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7"/>
      <c r="AF21" s="147"/>
    </row>
    <row r="22" ht="15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7"/>
      <c r="AF22" s="147"/>
    </row>
    <row r="23" ht="15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7"/>
      <c r="AF23" s="147"/>
    </row>
    <row r="24" ht="15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  <c r="AF24" s="147"/>
    </row>
    <row r="25" ht="15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7"/>
      <c r="AF25" s="147"/>
    </row>
    <row r="26" ht="15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7"/>
      <c r="AF26" s="147"/>
    </row>
    <row r="27" ht="15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7"/>
      <c r="AF27" s="147"/>
    </row>
    <row r="28" ht="15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7"/>
      <c r="AF28" s="147"/>
    </row>
    <row r="29" ht="15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7"/>
      <c r="AF29" s="147"/>
    </row>
    <row r="30" ht="15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7"/>
      <c r="AF30" s="147"/>
    </row>
    <row r="31" ht="15.0" customHeight="1">
      <c r="A31" s="145"/>
      <c r="B31" s="145"/>
      <c r="C31" s="145"/>
      <c r="D31" s="145"/>
      <c r="E31" s="145"/>
      <c r="F31" s="145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7"/>
      <c r="AF31" s="147"/>
    </row>
    <row r="32" ht="15.0" customHeight="1">
      <c r="A32" s="145"/>
      <c r="B32" s="145"/>
      <c r="C32" s="145"/>
      <c r="D32" s="145"/>
      <c r="E32" s="145"/>
      <c r="F32" s="145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7"/>
      <c r="AF32" s="147"/>
    </row>
    <row r="33" ht="15.0" customHeight="1">
      <c r="A33" s="145"/>
      <c r="B33" s="145"/>
      <c r="C33" s="145"/>
      <c r="D33" s="145"/>
      <c r="E33" s="145"/>
      <c r="F33" s="145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</row>
    <row r="34" ht="15.0" customHeight="1">
      <c r="A34" s="145"/>
      <c r="B34" s="145"/>
      <c r="C34" s="145"/>
      <c r="D34" s="145"/>
      <c r="E34" s="145"/>
      <c r="F34" s="145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</row>
    <row r="35" ht="15.0" customHeight="1">
      <c r="A35" s="145"/>
      <c r="B35" s="145"/>
      <c r="C35" s="145"/>
      <c r="D35" s="145"/>
      <c r="E35" s="145"/>
      <c r="F35" s="145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7"/>
      <c r="AF35" s="147"/>
    </row>
    <row r="36" ht="15.0" customHeight="1">
      <c r="A36" s="145"/>
      <c r="B36" s="145"/>
      <c r="C36" s="145"/>
      <c r="D36" s="145"/>
      <c r="E36" s="145"/>
      <c r="F36" s="145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7"/>
      <c r="AF36" s="147"/>
    </row>
    <row r="37" ht="15.0" customHeight="1">
      <c r="A37" s="145"/>
      <c r="B37" s="145"/>
      <c r="C37" s="145"/>
      <c r="D37" s="145"/>
      <c r="E37" s="145"/>
      <c r="F37" s="145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7"/>
      <c r="AF37" s="147"/>
    </row>
    <row r="38" ht="15.0" customHeight="1">
      <c r="A38" s="145"/>
      <c r="B38" s="145"/>
      <c r="C38" s="145"/>
      <c r="D38" s="145"/>
      <c r="E38" s="145"/>
      <c r="F38" s="145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7"/>
      <c r="AF38" s="147"/>
    </row>
    <row r="39" ht="15.0" customHeight="1">
      <c r="A39" s="145"/>
      <c r="B39" s="145"/>
      <c r="C39" s="145"/>
      <c r="D39" s="145"/>
      <c r="E39" s="145"/>
      <c r="F39" s="145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7"/>
      <c r="AF39" s="147"/>
    </row>
    <row r="40" ht="15.0" customHeight="1">
      <c r="A40" s="145"/>
      <c r="B40" s="145"/>
      <c r="C40" s="145"/>
      <c r="D40" s="145"/>
      <c r="E40" s="145"/>
      <c r="F40" s="145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7"/>
      <c r="AF40" s="147"/>
    </row>
    <row r="41" ht="15.0" customHeight="1">
      <c r="A41" s="145"/>
      <c r="B41" s="145"/>
      <c r="C41" s="145"/>
      <c r="D41" s="145"/>
      <c r="E41" s="145"/>
      <c r="F41" s="145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7"/>
      <c r="AF41" s="147"/>
    </row>
    <row r="42" ht="15.0" customHeight="1">
      <c r="A42" s="145"/>
      <c r="B42" s="145"/>
      <c r="C42" s="145"/>
      <c r="D42" s="145"/>
      <c r="E42" s="145"/>
      <c r="F42" s="145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7"/>
      <c r="AF42" s="147"/>
    </row>
    <row r="43" ht="15.0" customHeight="1">
      <c r="A43" s="145"/>
      <c r="B43" s="145"/>
      <c r="C43" s="145"/>
      <c r="D43" s="145"/>
      <c r="E43" s="145"/>
      <c r="F43" s="145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7"/>
      <c r="AF43" s="147"/>
    </row>
    <row r="44" ht="15.0" customHeight="1">
      <c r="A44" s="145"/>
      <c r="B44" s="145"/>
      <c r="C44" s="145"/>
      <c r="D44" s="145"/>
      <c r="E44" s="145"/>
      <c r="F44" s="145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7"/>
      <c r="AF44" s="147"/>
    </row>
    <row r="45" ht="15.0" customHeight="1">
      <c r="A45" s="145"/>
      <c r="B45" s="145"/>
      <c r="C45" s="145"/>
      <c r="D45" s="145"/>
      <c r="E45" s="145"/>
      <c r="F45" s="145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7"/>
      <c r="AF45" s="147"/>
    </row>
    <row r="46" ht="15.0" customHeight="1">
      <c r="A46" s="145"/>
      <c r="B46" s="145"/>
      <c r="C46" s="145"/>
      <c r="D46" s="145"/>
      <c r="E46" s="145"/>
      <c r="F46" s="145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7"/>
      <c r="AF46" s="147"/>
    </row>
    <row r="47" ht="15.0" customHeight="1">
      <c r="A47" s="145"/>
      <c r="B47" s="145"/>
      <c r="C47" s="145"/>
      <c r="D47" s="145"/>
      <c r="E47" s="145"/>
      <c r="F47" s="145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7"/>
      <c r="AF47" s="147"/>
    </row>
    <row r="48" ht="15.0" customHeight="1">
      <c r="A48" s="145"/>
      <c r="B48" s="145"/>
      <c r="C48" s="145"/>
      <c r="D48" s="145"/>
      <c r="E48" s="145"/>
      <c r="F48" s="145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7"/>
      <c r="AF48" s="147"/>
    </row>
    <row r="49" ht="15.0" customHeight="1">
      <c r="A49" s="145"/>
      <c r="B49" s="145"/>
      <c r="C49" s="145"/>
      <c r="D49" s="145"/>
      <c r="E49" s="145"/>
      <c r="F49" s="145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7"/>
      <c r="AF49" s="147"/>
    </row>
    <row r="50" ht="15.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</row>
    <row r="51" ht="15.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</row>
    <row r="52" ht="15.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15.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</row>
    <row r="54" ht="15.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</row>
    <row r="55" ht="15.0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</row>
    <row r="56" ht="15.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</row>
    <row r="57" ht="15.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</row>
    <row r="58" ht="15.0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</row>
    <row r="59" ht="15.0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</row>
    <row r="60" ht="15.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</row>
    <row r="61" ht="15.0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</row>
    <row r="62" ht="15.0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</row>
    <row r="63" ht="15.0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</row>
    <row r="64" ht="15.0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</row>
    <row r="65" ht="15.0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</row>
    <row r="66" ht="15.0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</row>
    <row r="67" ht="15.0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</row>
    <row r="68" ht="15.0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</row>
    <row r="69" ht="15.0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</row>
    <row r="70" ht="15.0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</row>
    <row r="71" ht="15.0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</row>
    <row r="72" ht="15.0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</row>
    <row r="73" ht="15.0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</row>
    <row r="74" ht="15.0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</row>
    <row r="75" ht="15.0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</row>
    <row r="76" ht="15.0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</row>
    <row r="77" ht="15.0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</row>
    <row r="78" ht="15.0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</row>
    <row r="79" ht="15.0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</row>
    <row r="80" ht="15.0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</row>
    <row r="81" ht="15.0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</row>
    <row r="82" ht="15.0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</row>
    <row r="83" ht="15.0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</row>
    <row r="84" ht="15.0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</row>
    <row r="85" ht="15.0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</row>
    <row r="86" ht="15.0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</row>
    <row r="87" ht="15.0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</row>
    <row r="88" ht="15.0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</row>
    <row r="89" ht="15.0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</row>
    <row r="90" ht="15.0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</row>
    <row r="91" ht="15.0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</row>
    <row r="92" ht="15.0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</row>
    <row r="93" ht="15.0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</row>
    <row r="94" ht="15.0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</row>
    <row r="95" ht="15.0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</row>
    <row r="96" ht="15.0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</row>
    <row r="97" ht="15.0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</row>
    <row r="98" ht="15.0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</row>
    <row r="99" ht="15.0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</row>
    <row r="100" ht="15.0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</row>
    <row r="101" ht="15.0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</row>
    <row r="102" ht="15.0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</row>
    <row r="103" ht="15.0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</row>
    <row r="104" ht="15.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</row>
    <row r="105" ht="15.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</row>
    <row r="106" ht="15.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</row>
    <row r="107" ht="15.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</row>
    <row r="108" ht="15.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</row>
    <row r="109" ht="15.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</row>
    <row r="110" ht="15.0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</row>
    <row r="111" ht="15.0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</row>
    <row r="112" ht="15.0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</row>
    <row r="113" ht="15.0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</row>
    <row r="114" ht="15.0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</row>
    <row r="115" ht="15.0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</row>
    <row r="116" ht="15.0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</row>
    <row r="117" ht="15.0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</row>
    <row r="118" ht="15.0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</row>
    <row r="119" ht="15.0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</row>
    <row r="120" ht="15.0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</row>
    <row r="121" ht="15.0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</row>
    <row r="122" ht="15.0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</row>
    <row r="123" ht="15.0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</row>
    <row r="124" ht="15.0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</row>
    <row r="125" ht="15.0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</row>
    <row r="126" ht="15.0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</row>
    <row r="127" ht="15.0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</row>
    <row r="128" ht="15.0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</row>
    <row r="129" ht="15.0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</row>
    <row r="130" ht="15.0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</row>
    <row r="131" ht="15.0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</row>
    <row r="132" ht="15.0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</row>
    <row r="133" ht="15.0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</row>
    <row r="134" ht="15.0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</row>
    <row r="135" ht="15.0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</row>
    <row r="136" ht="15.0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</row>
    <row r="137" ht="15.0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</row>
    <row r="138" ht="15.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</row>
    <row r="139" ht="15.0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</row>
    <row r="140" ht="15.0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</row>
    <row r="141" ht="15.0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</row>
    <row r="142" ht="15.0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</row>
    <row r="143" ht="15.0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</row>
    <row r="144" ht="15.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</row>
    <row r="145" ht="15.0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</row>
    <row r="146" ht="15.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</row>
    <row r="147" ht="15.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</row>
    <row r="148" ht="15.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</row>
    <row r="149" ht="15.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</row>
    <row r="150" ht="15.0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</row>
    <row r="151" ht="15.0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</row>
    <row r="152" ht="15.0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</row>
    <row r="153" ht="15.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</row>
    <row r="154" ht="15.0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</row>
    <row r="155" ht="15.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</row>
    <row r="156" ht="15.0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</row>
    <row r="157" ht="15.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</row>
    <row r="158" ht="15.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</row>
    <row r="159" ht="15.0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</row>
    <row r="160" ht="15.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</row>
    <row r="161" ht="15.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</row>
    <row r="162" ht="15.0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</row>
    <row r="163" ht="15.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</row>
    <row r="164" ht="15.0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</row>
    <row r="165" ht="15.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</row>
    <row r="166" ht="15.0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</row>
    <row r="167" ht="15.0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</row>
    <row r="168" ht="15.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</row>
    <row r="169" ht="15.0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</row>
    <row r="170" ht="15.0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</row>
    <row r="171" ht="15.0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</row>
    <row r="172" ht="15.0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</row>
    <row r="173" ht="15.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</row>
    <row r="174" ht="15.0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</row>
    <row r="175" ht="15.0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</row>
    <row r="176" ht="15.0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</row>
    <row r="177" ht="15.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</row>
    <row r="178" ht="15.0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</row>
    <row r="179" ht="15.0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</row>
    <row r="180" ht="15.0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</row>
    <row r="181" ht="15.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</row>
    <row r="182" ht="15.0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</row>
    <row r="183" ht="15.0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</row>
    <row r="184" ht="15.0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</row>
    <row r="185" ht="15.0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</row>
    <row r="186" ht="15.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</row>
    <row r="187" ht="15.0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</row>
    <row r="188" ht="15.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</row>
    <row r="189" ht="15.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</row>
    <row r="190" ht="15.0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</row>
    <row r="191" ht="15.0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</row>
    <row r="192" ht="15.0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</row>
    <row r="193" ht="15.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</row>
    <row r="194" ht="15.0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</row>
    <row r="195" ht="15.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</row>
    <row r="196" ht="15.0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</row>
    <row r="197" ht="15.0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</row>
    <row r="198" ht="15.0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</row>
    <row r="199" ht="15.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</row>
    <row r="200" ht="15.0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</row>
    <row r="201" ht="15.0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</row>
    <row r="202" ht="15.0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</row>
    <row r="203" ht="15.0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</row>
    <row r="204" ht="15.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</row>
    <row r="205" ht="15.0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</row>
    <row r="206" ht="15.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</row>
    <row r="207" ht="15.0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</row>
    <row r="208" ht="15.0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</row>
    <row r="209" ht="15.0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</row>
    <row r="210" ht="15.0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</row>
    <row r="211" ht="15.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</row>
    <row r="212" ht="15.0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</row>
    <row r="213" ht="15.0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</row>
    <row r="214" ht="15.0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</row>
    <row r="215" ht="15.0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</row>
    <row r="216" ht="15.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</row>
    <row r="217" ht="15.0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</row>
    <row r="218" ht="15.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</row>
    <row r="219" ht="15.0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</row>
    <row r="220" ht="15.0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2:G12"/>
    <mergeCell ref="A16:H16"/>
    <mergeCell ref="A17:U17"/>
    <mergeCell ref="A18:U18"/>
    <mergeCell ref="A19:U19"/>
    <mergeCell ref="A20:U20"/>
    <mergeCell ref="A1:U1"/>
    <mergeCell ref="A3:H3"/>
    <mergeCell ref="A5:H5"/>
    <mergeCell ref="A6:U6"/>
    <mergeCell ref="A7:H7"/>
    <mergeCell ref="A8:U8"/>
    <mergeCell ref="A13:U13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0.0"/>
    <col customWidth="1" min="2" max="7" width="15.0"/>
    <col customWidth="1" min="8" max="8" width="17.14"/>
    <col customWidth="1" min="9" max="24" width="2.0"/>
  </cols>
  <sheetData>
    <row r="1" ht="22.5" customHeight="1">
      <c r="A1" s="56" t="s">
        <v>475</v>
      </c>
      <c r="B1" s="2"/>
      <c r="C1" s="2"/>
      <c r="D1" s="2"/>
      <c r="E1" s="2"/>
      <c r="F1" s="2"/>
      <c r="G1" s="3"/>
      <c r="H1" s="12"/>
      <c r="I1" s="275"/>
      <c r="J1" s="27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7"/>
      <c r="B2" s="7"/>
      <c r="C2" s="7"/>
      <c r="D2" s="7"/>
      <c r="E2" s="12"/>
      <c r="F2" s="12"/>
      <c r="G2" s="12"/>
      <c r="H2" s="1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276" t="s">
        <v>476</v>
      </c>
      <c r="B3" s="12"/>
      <c r="C3" s="12"/>
      <c r="D3" s="12"/>
      <c r="E3" s="12"/>
      <c r="F3" s="12"/>
      <c r="G3" s="12"/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277" t="s">
        <v>477</v>
      </c>
      <c r="B4" s="7"/>
      <c r="C4" s="7"/>
      <c r="D4" s="7"/>
      <c r="E4" s="12"/>
      <c r="F4" s="12"/>
      <c r="G4" s="12"/>
      <c r="H4" s="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58" t="s">
        <v>45</v>
      </c>
      <c r="B5" s="2"/>
      <c r="C5" s="2"/>
      <c r="D5" s="2"/>
      <c r="E5" s="2"/>
      <c r="F5" s="2"/>
      <c r="G5" s="3"/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278" t="s">
        <v>478</v>
      </c>
      <c r="B6" s="7"/>
      <c r="C6" s="7"/>
      <c r="D6" s="7"/>
      <c r="E6" s="12"/>
      <c r="F6" s="12"/>
      <c r="G6" s="12"/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78" t="s">
        <v>479</v>
      </c>
      <c r="B7" s="7"/>
      <c r="C7" s="7"/>
      <c r="D7" s="7"/>
      <c r="E7" s="12"/>
      <c r="F7" s="12"/>
      <c r="G7" s="12"/>
      <c r="H7" s="1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79" t="s">
        <v>480</v>
      </c>
      <c r="B8" s="7"/>
      <c r="C8" s="7"/>
      <c r="D8" s="7"/>
      <c r="E8" s="12"/>
      <c r="F8" s="12"/>
      <c r="G8" s="12"/>
      <c r="H8" s="1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78" t="s">
        <v>481</v>
      </c>
      <c r="B9" s="7"/>
      <c r="C9" s="7"/>
      <c r="D9" s="7"/>
      <c r="E9" s="12"/>
      <c r="F9" s="12"/>
      <c r="G9" s="12"/>
      <c r="H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80" t="s">
        <v>482</v>
      </c>
      <c r="B10" s="7"/>
      <c r="C10" s="7"/>
      <c r="D10" s="7"/>
      <c r="E10" s="12"/>
      <c r="F10" s="12"/>
      <c r="G10" s="12"/>
      <c r="H10" s="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7"/>
      <c r="B11" s="7"/>
      <c r="C11" s="7"/>
      <c r="D11" s="7"/>
      <c r="E11" s="12"/>
      <c r="F11" s="12"/>
      <c r="G11" s="12"/>
      <c r="H11" s="1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281" t="s">
        <v>483</v>
      </c>
      <c r="B12" s="2"/>
      <c r="C12" s="2"/>
      <c r="D12" s="2"/>
      <c r="E12" s="2"/>
      <c r="F12" s="2"/>
      <c r="G12" s="3"/>
      <c r="H12" s="12"/>
      <c r="I12" s="282"/>
      <c r="J12" s="282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283" t="s">
        <v>484</v>
      </c>
      <c r="B13" s="7"/>
      <c r="C13" s="7"/>
      <c r="D13" s="7"/>
      <c r="E13" s="12"/>
      <c r="F13" s="12"/>
      <c r="G13" s="12"/>
      <c r="H13" s="1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82"/>
      <c r="B14" s="7"/>
      <c r="C14" s="7"/>
      <c r="D14" s="7"/>
      <c r="E14" s="12"/>
      <c r="F14" s="12"/>
      <c r="G14" s="12"/>
      <c r="H14" s="12"/>
      <c r="I14" s="282"/>
      <c r="J14" s="282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7"/>
      <c r="B15" s="7"/>
      <c r="C15" s="7"/>
      <c r="D15" s="7"/>
      <c r="E15" s="12"/>
      <c r="F15" s="12"/>
      <c r="G15" s="12"/>
      <c r="H15" s="1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282" t="s">
        <v>485</v>
      </c>
      <c r="B16" s="7"/>
      <c r="C16" s="7"/>
      <c r="D16" s="7"/>
      <c r="E16" s="12"/>
      <c r="F16" s="12"/>
      <c r="G16" s="12"/>
      <c r="H16" s="12"/>
      <c r="I16" s="282"/>
      <c r="J16" s="28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7"/>
      <c r="B17" s="7"/>
      <c r="C17" s="7"/>
      <c r="D17" s="7"/>
      <c r="E17" s="12"/>
      <c r="F17" s="12"/>
      <c r="G17" s="12"/>
      <c r="H17" s="1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84" t="s">
        <v>486</v>
      </c>
      <c r="B18" s="7"/>
      <c r="C18" s="7"/>
      <c r="D18" s="7"/>
      <c r="E18" s="12"/>
      <c r="F18" s="12"/>
      <c r="G18" s="12"/>
      <c r="H18" s="1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85" t="s">
        <v>487</v>
      </c>
      <c r="B19" s="7"/>
      <c r="C19" s="7"/>
      <c r="D19" s="7"/>
      <c r="E19" s="12"/>
      <c r="F19" s="12"/>
      <c r="G19" s="12"/>
      <c r="H19" s="1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86" t="s">
        <v>488</v>
      </c>
      <c r="B20" s="7"/>
      <c r="C20" s="7"/>
      <c r="D20" s="7"/>
      <c r="E20" s="12"/>
      <c r="F20" s="12"/>
      <c r="G20" s="12"/>
      <c r="H20" s="1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85" t="s">
        <v>489</v>
      </c>
      <c r="B21" s="7"/>
      <c r="C21" s="7"/>
      <c r="D21" s="7"/>
      <c r="E21" s="12"/>
      <c r="F21" s="12"/>
      <c r="G21" s="12"/>
      <c r="H21" s="1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287" t="s">
        <v>490</v>
      </c>
      <c r="B22" s="9"/>
      <c r="C22" s="9"/>
      <c r="D22" s="9"/>
      <c r="E22" s="9"/>
      <c r="F22" s="9"/>
      <c r="G22" s="9"/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7"/>
      <c r="B23" s="7"/>
      <c r="C23" s="7"/>
      <c r="D23" s="7"/>
      <c r="E23" s="12"/>
      <c r="F23" s="12"/>
      <c r="G23" s="12"/>
      <c r="H23" s="1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282" t="s">
        <v>491</v>
      </c>
      <c r="B24" s="7"/>
      <c r="C24" s="7"/>
      <c r="D24" s="7"/>
      <c r="E24" s="12"/>
      <c r="F24" s="12"/>
      <c r="G24" s="12"/>
      <c r="H24" s="12"/>
      <c r="I24" s="282"/>
      <c r="J24" s="28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7"/>
      <c r="B25" s="7"/>
      <c r="C25" s="7"/>
      <c r="D25" s="7"/>
      <c r="E25" s="12"/>
      <c r="F25" s="12"/>
      <c r="G25" s="12"/>
      <c r="H25" s="1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88" t="s">
        <v>492</v>
      </c>
      <c r="B26" s="7"/>
      <c r="C26" s="7"/>
      <c r="D26" s="7"/>
      <c r="E26" s="12"/>
      <c r="F26" s="12"/>
      <c r="G26" s="12"/>
      <c r="H26" s="1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85" t="s">
        <v>493</v>
      </c>
      <c r="B27" s="7"/>
      <c r="C27" s="7"/>
      <c r="D27" s="7"/>
      <c r="E27" s="12"/>
      <c r="F27" s="12"/>
      <c r="G27" s="12"/>
      <c r="H27" s="1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88" t="s">
        <v>494</v>
      </c>
      <c r="B28" s="7"/>
      <c r="C28" s="7"/>
      <c r="D28" s="7"/>
      <c r="E28" s="12"/>
      <c r="F28" s="12"/>
      <c r="G28" s="12"/>
      <c r="H28" s="1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85" t="s">
        <v>495</v>
      </c>
      <c r="B29" s="7"/>
      <c r="C29" s="7"/>
      <c r="D29" s="7"/>
      <c r="E29" s="12"/>
      <c r="F29" s="12"/>
      <c r="G29" s="12"/>
      <c r="H29" s="1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89" t="s">
        <v>496</v>
      </c>
      <c r="B30" s="7"/>
      <c r="C30" s="7"/>
      <c r="D30" s="7"/>
      <c r="E30" s="12"/>
      <c r="F30" s="12"/>
      <c r="G30" s="12"/>
      <c r="H30" s="1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7"/>
      <c r="B31" s="7"/>
      <c r="C31" s="7"/>
      <c r="D31" s="7"/>
      <c r="E31" s="12"/>
      <c r="F31" s="12"/>
      <c r="G31" s="12"/>
      <c r="H31" s="1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290" t="s">
        <v>497</v>
      </c>
      <c r="B32" s="2"/>
      <c r="C32" s="2"/>
      <c r="D32" s="2"/>
      <c r="E32" s="2"/>
      <c r="F32" s="2"/>
      <c r="G32" s="3"/>
      <c r="H32" s="12"/>
      <c r="I32" s="282"/>
      <c r="J32" s="28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7"/>
      <c r="B33" s="7"/>
      <c r="C33" s="7"/>
      <c r="D33" s="7"/>
      <c r="E33" s="12"/>
      <c r="F33" s="12"/>
      <c r="G33" s="12"/>
      <c r="H33" s="1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88" t="s">
        <v>498</v>
      </c>
      <c r="B34" s="7"/>
      <c r="C34" s="7"/>
      <c r="D34" s="7"/>
      <c r="E34" s="12"/>
      <c r="F34" s="12"/>
      <c r="G34" s="12"/>
      <c r="H34" s="1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85" t="s">
        <v>499</v>
      </c>
      <c r="B35" s="7"/>
      <c r="C35" s="7"/>
      <c r="D35" s="7"/>
      <c r="E35" s="12"/>
      <c r="F35" s="12"/>
      <c r="G35" s="12"/>
      <c r="H35" s="1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88" t="s">
        <v>500</v>
      </c>
      <c r="B36" s="7"/>
      <c r="C36" s="7"/>
      <c r="D36" s="7"/>
      <c r="E36" s="12"/>
      <c r="F36" s="12"/>
      <c r="G36" s="12"/>
      <c r="H36" s="1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85" t="s">
        <v>501</v>
      </c>
      <c r="B37" s="7"/>
      <c r="C37" s="7"/>
      <c r="D37" s="7"/>
      <c r="E37" s="12"/>
      <c r="F37" s="12"/>
      <c r="G37" s="12"/>
      <c r="H37" s="12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7"/>
      <c r="B38" s="7"/>
      <c r="C38" s="7"/>
      <c r="D38" s="7"/>
      <c r="E38" s="12"/>
      <c r="F38" s="12"/>
      <c r="G38" s="12"/>
      <c r="H38" s="1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279" t="s">
        <v>502</v>
      </c>
      <c r="B39" s="7"/>
      <c r="C39" s="7"/>
      <c r="D39" s="7"/>
      <c r="E39" s="12"/>
      <c r="F39" s="12"/>
      <c r="G39" s="12"/>
      <c r="H39" s="12"/>
      <c r="I39" s="282"/>
      <c r="J39" s="28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7"/>
      <c r="B40" s="7"/>
      <c r="C40" s="7"/>
      <c r="D40" s="7"/>
      <c r="E40" s="12"/>
      <c r="F40" s="12"/>
      <c r="G40" s="12"/>
      <c r="H40" s="1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85" t="s">
        <v>503</v>
      </c>
      <c r="B41" s="7"/>
      <c r="C41" s="7"/>
      <c r="D41" s="7"/>
      <c r="E41" s="12"/>
      <c r="F41" s="12"/>
      <c r="G41" s="12"/>
      <c r="H41" s="1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291" t="s">
        <v>504</v>
      </c>
      <c r="B42" s="9"/>
      <c r="C42" s="9"/>
      <c r="D42" s="9"/>
      <c r="E42" s="9"/>
      <c r="F42" s="9"/>
      <c r="G42" s="9"/>
      <c r="H42" s="1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92" t="s">
        <v>505</v>
      </c>
      <c r="B43" s="7"/>
      <c r="C43" s="7"/>
      <c r="D43" s="7"/>
      <c r="E43" s="12"/>
      <c r="F43" s="12"/>
      <c r="G43" s="12"/>
      <c r="H43" s="1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92" t="s">
        <v>506</v>
      </c>
      <c r="B44" s="7"/>
      <c r="C44" s="7"/>
      <c r="D44" s="7"/>
      <c r="E44" s="12"/>
      <c r="F44" s="12"/>
      <c r="G44" s="12"/>
      <c r="H44" s="1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92" t="s">
        <v>507</v>
      </c>
      <c r="B45" s="7"/>
      <c r="C45" s="7"/>
      <c r="D45" s="7"/>
      <c r="E45" s="12"/>
      <c r="F45" s="12"/>
      <c r="G45" s="12"/>
      <c r="H45" s="1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92" t="s">
        <v>508</v>
      </c>
      <c r="B46" s="7"/>
      <c r="C46" s="7"/>
      <c r="D46" s="7"/>
      <c r="E46" s="12"/>
      <c r="F46" s="12"/>
      <c r="G46" s="12"/>
      <c r="H46" s="1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85" t="s">
        <v>509</v>
      </c>
      <c r="B47" s="7"/>
      <c r="C47" s="7"/>
      <c r="D47" s="7"/>
      <c r="E47" s="12"/>
      <c r="F47" s="12"/>
      <c r="G47" s="12"/>
      <c r="H47" s="1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7"/>
      <c r="B48" s="7"/>
      <c r="C48" s="7"/>
      <c r="D48" s="7"/>
      <c r="E48" s="12"/>
      <c r="F48" s="12"/>
      <c r="G48" s="12"/>
      <c r="H48" s="1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282" t="s">
        <v>510</v>
      </c>
      <c r="B49" s="7"/>
      <c r="C49" s="7"/>
      <c r="D49" s="7"/>
      <c r="E49" s="12"/>
      <c r="F49" s="12"/>
      <c r="G49" s="12"/>
      <c r="H49" s="12"/>
      <c r="I49" s="282"/>
      <c r="J49" s="28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7"/>
      <c r="B50" s="7"/>
      <c r="C50" s="7"/>
      <c r="D50" s="7"/>
      <c r="E50" s="12"/>
      <c r="F50" s="12"/>
      <c r="G50" s="12"/>
      <c r="H50" s="1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92" t="s">
        <v>511</v>
      </c>
      <c r="B51" s="7"/>
      <c r="C51" s="7"/>
      <c r="D51" s="7"/>
      <c r="E51" s="12"/>
      <c r="F51" s="12"/>
      <c r="G51" s="12"/>
      <c r="H51" s="1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287" t="s">
        <v>512</v>
      </c>
      <c r="B52" s="9"/>
      <c r="C52" s="9"/>
      <c r="D52" s="9"/>
      <c r="E52" s="9"/>
      <c r="F52" s="9"/>
      <c r="G52" s="9"/>
      <c r="H52" s="1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85" t="s">
        <v>513</v>
      </c>
      <c r="B53" s="7"/>
      <c r="C53" s="7"/>
      <c r="D53" s="7"/>
      <c r="E53" s="12"/>
      <c r="F53" s="12"/>
      <c r="G53" s="12"/>
      <c r="H53" s="1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88" t="s">
        <v>514</v>
      </c>
      <c r="B54" s="7"/>
      <c r="C54" s="7"/>
      <c r="D54" s="7"/>
      <c r="E54" s="12"/>
      <c r="F54" s="12"/>
      <c r="G54" s="12"/>
      <c r="H54" s="1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85" t="s">
        <v>515</v>
      </c>
      <c r="B55" s="7"/>
      <c r="C55" s="7"/>
      <c r="D55" s="7"/>
      <c r="E55" s="12"/>
      <c r="F55" s="12"/>
      <c r="G55" s="12"/>
      <c r="H55" s="1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88" t="s">
        <v>516</v>
      </c>
      <c r="B56" s="7"/>
      <c r="C56" s="7"/>
      <c r="D56" s="7"/>
      <c r="E56" s="12"/>
      <c r="F56" s="12"/>
      <c r="G56" s="12"/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85" t="s">
        <v>517</v>
      </c>
      <c r="B57" s="7"/>
      <c r="C57" s="7"/>
      <c r="D57" s="7"/>
      <c r="E57" s="12"/>
      <c r="F57" s="12"/>
      <c r="G57" s="12"/>
      <c r="H57" s="1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7"/>
      <c r="B58" s="7"/>
      <c r="C58" s="7"/>
      <c r="D58" s="7"/>
      <c r="E58" s="12"/>
      <c r="F58" s="12"/>
      <c r="G58" s="12"/>
      <c r="H58" s="1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7"/>
      <c r="B59" s="7"/>
      <c r="C59" s="7"/>
      <c r="D59" s="7"/>
      <c r="E59" s="12"/>
      <c r="F59" s="12"/>
      <c r="G59" s="12"/>
      <c r="H59" s="1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82"/>
      <c r="B60" s="7"/>
      <c r="C60" s="7"/>
      <c r="D60" s="7"/>
      <c r="E60" s="12"/>
      <c r="F60" s="12"/>
      <c r="G60" s="12"/>
      <c r="H60" s="12"/>
      <c r="I60" s="282"/>
      <c r="J60" s="282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293" t="s">
        <v>518</v>
      </c>
      <c r="B61" s="26"/>
      <c r="C61" s="7"/>
      <c r="D61" s="7"/>
      <c r="E61" s="12"/>
      <c r="F61" s="12"/>
      <c r="G61" s="12"/>
      <c r="H61" s="1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94" t="s">
        <v>519</v>
      </c>
      <c r="B62" s="34"/>
      <c r="C62" s="7"/>
      <c r="D62" s="7"/>
      <c r="E62" s="12"/>
      <c r="F62" s="12"/>
      <c r="G62" s="12"/>
      <c r="H62" s="1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294" t="s">
        <v>520</v>
      </c>
      <c r="B63" s="34"/>
      <c r="C63" s="7"/>
      <c r="D63" s="7"/>
      <c r="E63" s="12"/>
      <c r="F63" s="12"/>
      <c r="G63" s="12"/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95" t="s">
        <v>521</v>
      </c>
      <c r="B64" s="34"/>
      <c r="C64" s="7"/>
      <c r="D64" s="7"/>
      <c r="E64" s="12"/>
      <c r="F64" s="12"/>
      <c r="G64" s="12"/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296" t="s">
        <v>519</v>
      </c>
      <c r="B65" s="7"/>
      <c r="C65" s="7"/>
      <c r="D65" s="7"/>
      <c r="E65" s="12"/>
      <c r="F65" s="12"/>
      <c r="G65" s="12"/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7"/>
      <c r="B66" s="7"/>
      <c r="C66" s="7"/>
      <c r="D66" s="7"/>
      <c r="E66" s="12"/>
      <c r="F66" s="12"/>
      <c r="G66" s="12"/>
      <c r="H66" s="1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297" t="s">
        <v>522</v>
      </c>
      <c r="B67" s="7"/>
      <c r="C67" s="7"/>
      <c r="D67" s="7"/>
      <c r="E67" s="12"/>
      <c r="F67" s="12"/>
      <c r="G67" s="12"/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7"/>
      <c r="B68" s="7"/>
      <c r="C68" s="7"/>
      <c r="D68" s="7"/>
      <c r="E68" s="12"/>
      <c r="F68" s="12"/>
      <c r="G68" s="12"/>
      <c r="H68" s="1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7"/>
      <c r="B69" s="7"/>
      <c r="C69" s="7"/>
      <c r="D69" s="7"/>
      <c r="E69" s="12"/>
      <c r="F69" s="12"/>
      <c r="G69" s="12"/>
      <c r="H69" s="1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7"/>
      <c r="B70" s="7"/>
      <c r="C70" s="7"/>
      <c r="D70" s="7"/>
      <c r="E70" s="12"/>
      <c r="F70" s="12"/>
      <c r="G70" s="12"/>
      <c r="H70" s="1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7"/>
      <c r="B71" s="7"/>
      <c r="C71" s="7"/>
      <c r="D71" s="7"/>
      <c r="E71" s="12"/>
      <c r="F71" s="12"/>
      <c r="G71" s="12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7"/>
      <c r="B72" s="7"/>
      <c r="C72" s="7"/>
      <c r="D72" s="7"/>
      <c r="E72" s="12"/>
      <c r="F72" s="12"/>
      <c r="G72" s="12"/>
      <c r="H72" s="1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7"/>
      <c r="B73" s="7"/>
      <c r="C73" s="7"/>
      <c r="D73" s="7"/>
      <c r="E73" s="12"/>
      <c r="F73" s="12"/>
      <c r="G73" s="12"/>
      <c r="H73" s="1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7"/>
      <c r="B74" s="7"/>
      <c r="C74" s="7"/>
      <c r="D74" s="7"/>
      <c r="E74" s="12"/>
      <c r="F74" s="12"/>
      <c r="G74" s="12"/>
      <c r="H74" s="1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7"/>
      <c r="B75" s="7"/>
      <c r="C75" s="7"/>
      <c r="D75" s="7"/>
      <c r="E75" s="12"/>
      <c r="F75" s="12"/>
      <c r="G75" s="12"/>
      <c r="H75" s="1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7"/>
      <c r="B76" s="7"/>
      <c r="C76" s="7"/>
      <c r="D76" s="7"/>
      <c r="E76" s="12"/>
      <c r="F76" s="12"/>
      <c r="G76" s="12"/>
      <c r="H76" s="1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7"/>
      <c r="B77" s="7"/>
      <c r="C77" s="7"/>
      <c r="D77" s="7"/>
      <c r="E77" s="12"/>
      <c r="F77" s="12"/>
      <c r="G77" s="12"/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7"/>
      <c r="B78" s="7"/>
      <c r="C78" s="7"/>
      <c r="D78" s="7"/>
      <c r="E78" s="12"/>
      <c r="F78" s="12"/>
      <c r="G78" s="12"/>
      <c r="H78" s="1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7"/>
      <c r="B79" s="7"/>
      <c r="C79" s="7"/>
      <c r="D79" s="7"/>
      <c r="E79" s="12"/>
      <c r="F79" s="12"/>
      <c r="G79" s="12"/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7"/>
      <c r="B80" s="7"/>
      <c r="C80" s="7"/>
      <c r="D80" s="7"/>
      <c r="E80" s="12"/>
      <c r="F80" s="12"/>
      <c r="G80" s="12"/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7"/>
      <c r="B81" s="7"/>
      <c r="C81" s="7"/>
      <c r="D81" s="7"/>
      <c r="E81" s="12"/>
      <c r="F81" s="12"/>
      <c r="G81" s="12"/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7"/>
      <c r="B82" s="7"/>
      <c r="C82" s="7"/>
      <c r="D82" s="7"/>
      <c r="E82" s="12"/>
      <c r="F82" s="12"/>
      <c r="G82" s="12"/>
      <c r="H82" s="1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7"/>
      <c r="B83" s="7"/>
      <c r="C83" s="7"/>
      <c r="D83" s="7"/>
      <c r="E83" s="12"/>
      <c r="F83" s="12"/>
      <c r="G83" s="12"/>
      <c r="H83" s="1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7"/>
      <c r="B84" s="7"/>
      <c r="C84" s="7"/>
      <c r="D84" s="7"/>
      <c r="E84" s="12"/>
      <c r="F84" s="12"/>
      <c r="G84" s="12"/>
      <c r="H84" s="1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7"/>
      <c r="B85" s="7"/>
      <c r="C85" s="7"/>
      <c r="D85" s="7"/>
      <c r="E85" s="12"/>
      <c r="F85" s="12"/>
      <c r="G85" s="12"/>
      <c r="H85" s="1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7"/>
      <c r="B86" s="7"/>
      <c r="C86" s="7"/>
      <c r="D86" s="7"/>
      <c r="E86" s="12"/>
      <c r="F86" s="12"/>
      <c r="G86" s="12"/>
      <c r="H86" s="1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7"/>
      <c r="B87" s="7"/>
      <c r="C87" s="7"/>
      <c r="D87" s="7"/>
      <c r="E87" s="12"/>
      <c r="F87" s="12"/>
      <c r="G87" s="12"/>
      <c r="H87" s="1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7"/>
      <c r="B88" s="7"/>
      <c r="C88" s="7"/>
      <c r="D88" s="7"/>
      <c r="E88" s="12"/>
      <c r="F88" s="12"/>
      <c r="G88" s="12"/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7"/>
      <c r="B89" s="7"/>
      <c r="C89" s="7"/>
      <c r="D89" s="7"/>
      <c r="E89" s="12"/>
      <c r="F89" s="12"/>
      <c r="G89" s="12"/>
      <c r="H89" s="1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7"/>
      <c r="B90" s="7"/>
      <c r="C90" s="7"/>
      <c r="D90" s="7"/>
      <c r="E90" s="12"/>
      <c r="F90" s="12"/>
      <c r="G90" s="12"/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7"/>
      <c r="B91" s="7"/>
      <c r="C91" s="7"/>
      <c r="D91" s="7"/>
      <c r="E91" s="12"/>
      <c r="F91" s="12"/>
      <c r="G91" s="12"/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7"/>
      <c r="B92" s="7"/>
      <c r="C92" s="7"/>
      <c r="D92" s="7"/>
      <c r="E92" s="12"/>
      <c r="F92" s="12"/>
      <c r="G92" s="12"/>
      <c r="H92" s="1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7"/>
      <c r="B93" s="7"/>
      <c r="C93" s="7"/>
      <c r="D93" s="7"/>
      <c r="E93" s="12"/>
      <c r="F93" s="12"/>
      <c r="G93" s="12"/>
      <c r="H93" s="1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7"/>
      <c r="B94" s="7"/>
      <c r="C94" s="7"/>
      <c r="D94" s="7"/>
      <c r="E94" s="12"/>
      <c r="F94" s="12"/>
      <c r="G94" s="12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7"/>
      <c r="B95" s="7"/>
      <c r="C95" s="7"/>
      <c r="D95" s="7"/>
      <c r="E95" s="12"/>
      <c r="F95" s="12"/>
      <c r="G95" s="12"/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7"/>
      <c r="B96" s="7"/>
      <c r="C96" s="7"/>
      <c r="D96" s="7"/>
      <c r="E96" s="12"/>
      <c r="F96" s="12"/>
      <c r="G96" s="12"/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7"/>
      <c r="B97" s="7"/>
      <c r="C97" s="7"/>
      <c r="D97" s="7"/>
      <c r="E97" s="12"/>
      <c r="F97" s="12"/>
      <c r="G97" s="12"/>
      <c r="H97" s="1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7"/>
      <c r="B98" s="7"/>
      <c r="C98" s="7"/>
      <c r="D98" s="7"/>
      <c r="E98" s="12"/>
      <c r="F98" s="12"/>
      <c r="G98" s="12"/>
      <c r="H98" s="1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7"/>
      <c r="B99" s="7"/>
      <c r="C99" s="7"/>
      <c r="D99" s="7"/>
      <c r="E99" s="12"/>
      <c r="F99" s="12"/>
      <c r="G99" s="12"/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0.25" customHeight="1">
      <c r="A100" s="7"/>
      <c r="B100" s="7"/>
      <c r="C100" s="298" t="str">
        <f>'📸OCR機能セットアップ'!B352</f>
        <v/>
      </c>
      <c r="D100" s="7"/>
      <c r="E100" s="12"/>
      <c r="F100" s="12"/>
      <c r="G100" s="12"/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7"/>
      <c r="B101" s="7"/>
      <c r="C101" s="299" t="s">
        <v>523</v>
      </c>
      <c r="D101" s="7"/>
      <c r="E101" s="12"/>
      <c r="F101" s="12"/>
      <c r="G101" s="12"/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7"/>
      <c r="B102" s="7"/>
      <c r="C102" s="300" t="str">
        <f>'📸OCR機能セットアップ'!B358</f>
        <v/>
      </c>
      <c r="D102" s="7"/>
      <c r="E102" s="12"/>
      <c r="F102" s="12"/>
      <c r="G102" s="12"/>
      <c r="H102" s="1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7"/>
      <c r="B103" s="7"/>
      <c r="C103" s="301" t="str">
        <f>'📸OCR機能セットアップ'!D355</f>
        <v/>
      </c>
      <c r="D103" s="7"/>
      <c r="E103" s="12"/>
      <c r="F103" s="12"/>
      <c r="G103" s="12"/>
      <c r="H103" s="1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7"/>
      <c r="B104" s="7"/>
      <c r="C104" s="302" t="str">
        <f>'📸OCR機能セットアップ'!B360</f>
        <v/>
      </c>
      <c r="D104" s="7"/>
      <c r="E104" s="12"/>
      <c r="F104" s="12"/>
      <c r="G104" s="12"/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303" t="s">
        <v>524</v>
      </c>
      <c r="B105" s="50"/>
      <c r="C105" s="50"/>
      <c r="D105" s="304"/>
      <c r="E105" s="12"/>
      <c r="F105" s="12"/>
      <c r="G105" s="12"/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305" t="s">
        <v>525</v>
      </c>
      <c r="B106" s="305" t="str">
        <f>TEXT(TODAY(),"YYYY年MM月")</f>
        <v>2025年12月</v>
      </c>
      <c r="C106" s="305" t="s">
        <v>526</v>
      </c>
      <c r="D106" s="306"/>
      <c r="E106" s="12"/>
      <c r="F106" s="12"/>
      <c r="G106" s="12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307" t="s">
        <v>527</v>
      </c>
      <c r="B107" s="308" t="s">
        <v>528</v>
      </c>
      <c r="C107" s="309" t="s">
        <v>529</v>
      </c>
      <c r="D107" s="310">
        <f>1000-B358</f>
        <v>1000</v>
      </c>
      <c r="E107" s="12"/>
      <c r="F107" s="12"/>
      <c r="G107" s="12"/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307" t="s">
        <v>530</v>
      </c>
      <c r="B108" s="311">
        <v>100.0</v>
      </c>
      <c r="C108" s="309" t="s">
        <v>531</v>
      </c>
      <c r="D108" s="312">
        <f>B358/1000</f>
        <v>0</v>
      </c>
      <c r="E108" s="12"/>
      <c r="F108" s="12"/>
      <c r="G108" s="12"/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307" t="s">
        <v>532</v>
      </c>
      <c r="B109" s="308" t="str">
        <f>IF(D355&gt;500,"✅ 十分な残り回数",IF(D355&gt;200,"⚠️ 残り回数が減っています","🚨 残り回数が少なくなっています"))</f>
        <v>🚨 残り回数が少なくなっています</v>
      </c>
      <c r="C109" s="313"/>
      <c r="D109" s="314"/>
      <c r="E109" s="12"/>
      <c r="F109" s="12"/>
      <c r="G109" s="12"/>
      <c r="H109" s="1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315" t="s">
        <v>533</v>
      </c>
      <c r="B110" s="316"/>
      <c r="C110" s="316"/>
      <c r="D110" s="317"/>
      <c r="E110" s="12"/>
      <c r="F110" s="12"/>
      <c r="G110" s="12"/>
      <c r="H110" s="1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318" t="s">
        <v>534</v>
      </c>
      <c r="B111" s="50"/>
      <c r="C111" s="50"/>
      <c r="D111" s="319"/>
      <c r="E111" s="12"/>
      <c r="F111" s="12"/>
      <c r="G111" s="12"/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320" t="s">
        <v>535</v>
      </c>
      <c r="B112" s="321" t="s">
        <v>536</v>
      </c>
      <c r="C112" s="322" t="s">
        <v>537</v>
      </c>
      <c r="D112" s="319"/>
      <c r="E112" s="12"/>
      <c r="F112" s="12"/>
      <c r="G112" s="12"/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323" t="s">
        <v>538</v>
      </c>
      <c r="B113" s="324" t="s">
        <v>539</v>
      </c>
      <c r="C113" s="325"/>
      <c r="D113" s="7"/>
      <c r="E113" s="12"/>
      <c r="F113" s="12"/>
      <c r="G113" s="12"/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326" t="s">
        <v>540</v>
      </c>
      <c r="B114" s="327" t="s">
        <v>541</v>
      </c>
      <c r="C114" s="50"/>
      <c r="D114" s="7"/>
      <c r="E114" s="12"/>
      <c r="F114" s="12"/>
      <c r="G114" s="12"/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328" t="s">
        <v>542</v>
      </c>
      <c r="B115" s="50"/>
      <c r="C115" s="50"/>
      <c r="D115" s="329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</row>
    <row r="116" ht="15.0" customHeight="1">
      <c r="A116" s="330" t="s">
        <v>543</v>
      </c>
      <c r="B116" s="331" t="s">
        <v>351</v>
      </c>
      <c r="C116" s="331" t="s">
        <v>544</v>
      </c>
      <c r="D116" s="332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</row>
    <row r="117" ht="13.5" customHeight="1">
      <c r="A117" s="305" t="s">
        <v>545</v>
      </c>
      <c r="B117" s="305" t="s">
        <v>352</v>
      </c>
      <c r="C117" s="305" t="s">
        <v>546</v>
      </c>
      <c r="D117" s="332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</row>
    <row r="118" ht="13.5" customHeight="1">
      <c r="A118" s="333" t="s">
        <v>547</v>
      </c>
      <c r="B118" s="333" t="s">
        <v>353</v>
      </c>
      <c r="C118" s="333" t="s">
        <v>548</v>
      </c>
      <c r="D118" s="332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</row>
    <row r="119" ht="13.5" customHeight="1">
      <c r="A119" s="333" t="s">
        <v>549</v>
      </c>
      <c r="B119" s="333" t="s">
        <v>354</v>
      </c>
      <c r="C119" s="333" t="s">
        <v>550</v>
      </c>
      <c r="D119" s="332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</row>
    <row r="120" ht="13.5" customHeight="1">
      <c r="A120" s="333" t="s">
        <v>551</v>
      </c>
      <c r="B120" s="333" t="s">
        <v>552</v>
      </c>
      <c r="C120" s="333" t="s">
        <v>553</v>
      </c>
      <c r="D120" s="33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</row>
    <row r="121" ht="13.5" customHeight="1">
      <c r="A121" s="333" t="s">
        <v>554</v>
      </c>
      <c r="B121" s="333" t="s">
        <v>555</v>
      </c>
      <c r="C121" s="333" t="s">
        <v>556</v>
      </c>
      <c r="D121" s="332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</row>
    <row r="122" ht="13.5" customHeight="1">
      <c r="A122" s="333" t="s">
        <v>557</v>
      </c>
      <c r="B122" s="333" t="s">
        <v>558</v>
      </c>
      <c r="C122" s="333" t="s">
        <v>559</v>
      </c>
      <c r="D122" s="332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</row>
    <row r="123" ht="15.0" customHeight="1">
      <c r="A123" s="333" t="s">
        <v>560</v>
      </c>
      <c r="B123" s="333" t="s">
        <v>561</v>
      </c>
      <c r="C123" s="333" t="s">
        <v>562</v>
      </c>
      <c r="D123" s="332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</row>
    <row r="124" ht="13.5" customHeight="1">
      <c r="A124" s="333" t="s">
        <v>18</v>
      </c>
      <c r="B124" s="333" t="s">
        <v>366</v>
      </c>
      <c r="C124" s="333" t="s">
        <v>563</v>
      </c>
      <c r="D124" s="332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3.5" customHeight="1">
      <c r="A125" s="333" t="s">
        <v>564</v>
      </c>
      <c r="B125" s="333" t="s">
        <v>565</v>
      </c>
      <c r="C125" s="333" t="s">
        <v>566</v>
      </c>
      <c r="D125" s="33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3.5" customHeight="1">
      <c r="A126" s="333" t="s">
        <v>567</v>
      </c>
      <c r="B126" s="333" t="s">
        <v>568</v>
      </c>
      <c r="C126" s="333" t="s">
        <v>569</v>
      </c>
      <c r="D126" s="332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3.5" customHeight="1">
      <c r="A127" s="333" t="s">
        <v>570</v>
      </c>
      <c r="B127" s="333" t="s">
        <v>368</v>
      </c>
      <c r="C127" s="333" t="s">
        <v>571</v>
      </c>
      <c r="D127" s="332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3.5" customHeight="1">
      <c r="A128" s="333" t="s">
        <v>572</v>
      </c>
      <c r="B128" s="333" t="s">
        <v>371</v>
      </c>
      <c r="C128" s="333" t="s">
        <v>573</v>
      </c>
      <c r="D128" s="332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3.5" customHeight="1">
      <c r="A129" s="333" t="s">
        <v>574</v>
      </c>
      <c r="B129" s="333" t="s">
        <v>575</v>
      </c>
      <c r="C129" s="333" t="s">
        <v>576</v>
      </c>
      <c r="D129" s="332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</row>
    <row r="130" ht="13.5" customHeight="1">
      <c r="A130" s="333" t="s">
        <v>577</v>
      </c>
      <c r="B130" s="333" t="s">
        <v>578</v>
      </c>
      <c r="C130" s="333" t="s">
        <v>579</v>
      </c>
      <c r="D130" s="33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3.5" customHeight="1">
      <c r="A131" s="333" t="s">
        <v>580</v>
      </c>
      <c r="B131" s="333" t="s">
        <v>356</v>
      </c>
      <c r="C131" s="333" t="s">
        <v>581</v>
      </c>
      <c r="D131" s="332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3.5" customHeight="1">
      <c r="A132" s="333" t="s">
        <v>582</v>
      </c>
      <c r="B132" s="333" t="s">
        <v>357</v>
      </c>
      <c r="C132" s="333" t="s">
        <v>583</v>
      </c>
      <c r="D132" s="332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5.0" customHeight="1">
      <c r="A133" s="333" t="s">
        <v>584</v>
      </c>
      <c r="B133" s="333" t="s">
        <v>585</v>
      </c>
      <c r="C133" s="333" t="s">
        <v>586</v>
      </c>
      <c r="D133" s="332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</row>
    <row r="134" ht="13.5" customHeight="1">
      <c r="A134" s="333" t="s">
        <v>587</v>
      </c>
      <c r="B134" s="333" t="s">
        <v>360</v>
      </c>
      <c r="C134" s="333" t="s">
        <v>588</v>
      </c>
      <c r="D134" s="332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</row>
    <row r="135" ht="13.5" customHeight="1">
      <c r="A135" s="333" t="s">
        <v>589</v>
      </c>
      <c r="B135" s="333" t="s">
        <v>358</v>
      </c>
      <c r="C135" s="333" t="s">
        <v>590</v>
      </c>
      <c r="D135" s="33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</row>
    <row r="136" ht="13.5" customHeight="1">
      <c r="A136" s="333" t="s">
        <v>591</v>
      </c>
      <c r="B136" s="333" t="s">
        <v>359</v>
      </c>
      <c r="C136" s="333" t="s">
        <v>592</v>
      </c>
      <c r="D136" s="332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</row>
    <row r="137" ht="13.5" customHeight="1">
      <c r="A137" s="333" t="s">
        <v>593</v>
      </c>
      <c r="B137" s="333" t="s">
        <v>594</v>
      </c>
      <c r="C137" s="333" t="s">
        <v>595</v>
      </c>
      <c r="D137" s="335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</row>
    <row r="138" ht="15.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3.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3.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3.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3.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3.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6.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20.2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22.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3.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9.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9.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3.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9.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9.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3.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3.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3.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3.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3.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3.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3.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3.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3.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3.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9.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3.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3.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3.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3.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3.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3.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3.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22.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3.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9.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3.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3.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3.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20.2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3.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3.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3.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9.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3.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3.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3.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3.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3.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3.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3.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3.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9.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3.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3.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3.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3.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0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3.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3.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3.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3.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9.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3.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3.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3.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3.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3.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3.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3.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3.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9.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0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3.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3.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3.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3.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3.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0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3.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20.2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0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8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0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22.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0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0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0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0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0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0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0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0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0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0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0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0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0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0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3.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8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0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0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0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0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0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0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0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0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0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0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0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0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0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0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0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0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0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0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0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0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0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0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0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0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0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0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0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0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0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0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8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0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0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0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0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0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0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0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21.0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0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0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0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0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0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0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0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0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0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0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0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0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0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0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0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0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0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0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0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0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0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0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0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0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0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0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0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0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61:B61"/>
    <mergeCell ref="A62:B62"/>
    <mergeCell ref="A63:B63"/>
    <mergeCell ref="A64:B64"/>
    <mergeCell ref="A1:G1"/>
    <mergeCell ref="A5:G5"/>
    <mergeCell ref="A12:G12"/>
    <mergeCell ref="A22:G22"/>
    <mergeCell ref="A32:G32"/>
    <mergeCell ref="A42:G42"/>
    <mergeCell ref="A52:G52"/>
  </mergeCells>
  <printOptions/>
  <pageMargins bottom="0.75" footer="0.0" header="0.0" left="0.7" right="0.7" top="0.75"/>
  <pageSetup paperSize="9"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2025-11-27T12:21:31Z</dcterms:created>
  <dc:creator>openpyxl</dc:creator>
</cp:coreProperties>
</file>